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09573fec6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Electronics" sheetId="1" r:id="R23d3894427734b90"/>
    <x:sheet xmlns:r="http://schemas.openxmlformats.org/officeDocument/2006/relationships" name="Sheet1" sheetId="2" r:id="Rfeb0cff2775c43cc"/>
    <x:sheet xmlns:r="http://schemas.openxmlformats.org/officeDocument/2006/relationships" name="Notes" sheetId="3" r:id="R047d5bd82c7e4379"/>
  </x:sheets>
</x:workbook>
</file>

<file path=xl/sharedStrings.xml><?xml version="1.0" encoding="utf-8"?>
<x:sst xmlns:x="http://schemas.openxmlformats.org/spreadsheetml/2006/main">
  <x:si>
    <x:t xml:space="preserve">2026-05-30</x:t>
  </x:si>
  <x:si>
    <x:t xml:space="preserve">ESP32 development board with 2.8 inch TFT touch screen, WiFi, Bluetooth</x:t>
  </x:si>
  <x:si>
    <x:t xml:space="preserve">XiaoZhi AI 3.5inch 320*480 Smart Display Screen Touch Enabled LED TFT Module</x:t>
  </x:si>
  <x:si>
    <x:t xml:space="preserve">2026-05-31</x:t>
  </x:si>
  <x:si>
    <x:t xml:space="preserve">microSD card 8GB or 16GB, Class 10</x:t>
  </x:si>
  <x:si>
    <x:t xml:space="preserve">https://he.pricearchive.org/search/aliexpress.com/16-gb-micro-sd-tf-card/2?sort=SALE_PRICE_ASC</x:t>
  </x:si>
  <x:si>
    <x:t xml:space="preserve">Arcade push button momentary 24mm or 30mm, NO contact</x:t>
  </x:si>
  <x:si>
    <x:t xml:space="preserve">https://ms.pricearchive.org/aliexpress.com/item/32709040184</x:t>
  </x:si>
  <x:si>
    <x:t xml:space="preserve">Prototype PCB perfboard, 5x7cm or similar</x:t>
  </x:si>
  <x:si>
    <x:t xml:space="preserve">MCP23017 I2C GPIO Expander</x:t>
  </x:si>
  <x:si>
    <x:t xml:space="preserve">MCP23017 16-bit I2C I/O expander module</x:t>
  </x:si>
  <x:si>
    <x:t xml:space="preserve">https://cs.pricearchive.org/aliexpress.com/item/1005009520862205</x:t>
  </x:si>
  <x:si>
    <x:t xml:space="preserve">PAM8403 5V class D stereo amplifier board, 2x3W</x:t>
  </x:si>
  <x:si>
    <x:t xml:space="preserve">https://www.pricearchive.org/aliexpress.com/item/1005012082823079</x:t>
  </x:si>
  <x:si>
    <x:t xml:space="preserve">4 ohm 3W or 5W speakers, 40mm to 60mm</x:t>
  </x:si>
  <x:si>
    <x:t xml:space="preserve">https://he.pricearchive.org/search/aliexpress.com/3-ohm-speaker/1</x:t>
  </x:si>
  <x:si>
    <x:t xml:space="preserve">Panel mount rocker switch, 2 pin, 5V/12V compatible</x:t>
  </x:si>
  <x:si>
    <x:t xml:space="preserve">Dupont wires and JST connectors kit</x:t>
  </x:si>
</x:sst>
</file>

<file path=xl/styles.xml><?xml version="1.0" encoding="utf-8"?>
<x:styleSheet xmlns:x="http://schemas.openxmlformats.org/spreadsheetml/2006/main">
  <x:numFmts count="1">
    <x:numFmt numFmtId="164" formatCode="₪ #,##0.00"/>
  </x:numFmts>
  <x:fonts count="13">
    <x:font>
      <x:sz val="11"/>
      <x:color rgb="FF000000"/>
      <x:name val="Carlito"/>
    </x:font>
    <x:font>
      <x:color theme="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b/>
      <x:sz val="11"/>
      <x:color theme="1"/>
      <x:name val="Carlito"/>
    </x:font>
    <x:font>
      <x:sz val="10"/>
      <x:color theme="1"/>
      <x:name val="Carlito"/>
    </x:font>
    <x:font>
      <x:sz val="10"/>
      <x:color rgb="FF0000FF"/>
      <x:name val="Carlito"/>
    </x:font>
    <x:font>
      <x:sz val="10"/>
      <x:color rgb="FF0563C1"/>
      <x:name val="Carlito"/>
    </x:font>
    <x:font>
      <x:color theme="1"/>
      <x:name val="Carlito"/>
    </x:font>
    <x:font>
      <x:color rgb="FF0563C1"/>
      <x:name val="Carlito"/>
    </x:font>
    <x:font>
      <x:sz val="10"/>
      <x:color rgb="FF0563C1"/>
      <x:name val="Carlito"/>
    </x:font>
    <x:font>
      <x:i/>
      <x:sz val="11"/>
      <x:color theme="1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F4E79"/>
      </x:patternFill>
    </x:fill>
    <x:fill>
      <x:patternFill patternType="solid">
        <x:fgColor rgb="FF305496"/>
      </x:patternFill>
    </x:fill>
    <x:fill>
      <x:patternFill patternType="solid">
        <x:fgColor rgb="FFEAF2F8"/>
      </x:patternFill>
    </x:fill>
    <x:fill>
      <x:patternFill patternType="solid">
        <x:fgColor rgb="FFFF0000"/>
      </x:patternFill>
    </x:fill>
    <x:fill>
      <x:patternFill patternType="solid">
        <x:fgColor rgb="FFC1E4F5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120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2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1" fillId="0" borderId="0" xfId="0" applyFont="1" applyAlignment="1"/>
    <x:xf numFmtId="0" fontId="5" fillId="4" borderId="0" xfId="0" applyFont="1" applyFill="1" applyAlignment="1">
      <x:alignment vertical="center"/>
    </x:xf>
    <x:xf numFmtId="0" fontId="5" fillId="5" borderId="0" xfId="0" applyFont="1" applyFill="1" applyAlignment="1">
      <x:alignment vertical="center"/>
    </x:xf>
    <x:xf numFmtId="0" fontId="5" fillId="4" borderId="0" xfId="0" applyFont="1" applyAlignment="1">
      <x:alignment vertical="center"/>
    </x:xf>
    <x:xf numFmtId="0" fontId="3" fillId="3" borderId="0" xfId="0" applyFont="1" applyAlignment="1">
      <x:alignment horizontal="center" vertical="center" wrapText="1"/>
    </x:xf>
    <x:xf numFmtId="0" fontId="3" fillId="3" borderId="0" xfId="0" applyFont="1" applyAlignment="1">
      <x:alignment horizontal="center" vertical="center" wrapText="1"/>
    </x:xf>
    <x:xf numFmtId="0" fontId="3" fillId="2" borderId="0" xfId="0" applyFont="1" applyAlignment="1">
      <x:alignment horizontal="center" vertical="center" wrapText="1"/>
    </x:xf>
    <x:xf numFmtId="0" fontId="6" fillId="0" borderId="0" xfId="0" applyFont="1" applyAlignment="1">
      <x:alignment horizontal="center" vertical="top" wrapText="1"/>
    </x:xf>
    <x:xf numFmtId="0" fontId="6" fillId="0" borderId="0" xfId="0" applyFont="1" applyAlignment="1">
      <x:alignment horizontal="center" vertical="top" wrapText="1"/>
    </x:xf>
    <x:xf numFmtId="0" fontId="6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1" fontId="6" fillId="0" borderId="0" xfId="0" applyNumberFormat="1" applyFont="1" applyAlignment="1">
      <x:alignment horizontal="center" vertical="top" wrapText="1"/>
    </x:xf>
    <x:xf numFmtId="0" fontId="6" fillId="0" borderId="0" xfId="0" applyFont="1" applyAlignment="1">
      <x:alignment vertical="top" wrapText="1"/>
    </x:xf>
    <x:xf numFmtId="0" fontId="7" fillId="0" borderId="0" xfId="0" applyFont="1" applyAlignment="1">
      <x:alignment vertical="top" wrapText="1"/>
    </x:xf>
    <x:xf numFmtId="164" fontId="6" fillId="0" borderId="0" xfId="0" applyNumberFormat="1" applyFont="1" applyAlignment="1">
      <x:alignment vertical="top" wrapText="1"/>
    </x:xf>
    <x:xf numFmtId="0" fontId="4" fillId="0" borderId="0" xfId="0" applyFont="1" applyAlignment="1">
      <x:alignment wrapText="1"/>
    </x:xf>
    <x:xf numFmtId="0" fontId="1" fillId="0" borderId="0" xfId="0" applyFont="1"/>
    <x:xf numFmtId="164" fontId="4" fillId="0" borderId="0" xfId="0" applyNumberFormat="1" applyFont="1"/>
    <x:xf numFmtId="0" fontId="8" fillId="0" borderId="0" xfId="0" applyFont="1" applyAlignment="1">
      <x:alignment vertical="top" wrapText="1"/>
    </x:xf>
    <x:xf numFmtId="0" fontId="4" fillId="0" borderId="0" xfId="0" applyFont="1" applyAlignment="1">
      <x:alignment wrapText="1"/>
    </x:xf>
    <x:xf numFmtId="0" fontId="9" fillId="6" borderId="0" xfId="0" applyFont="1" applyFill="1" applyAlignment="1">
      <x:alignment horizontal="center" vertical="top" wrapText="1"/>
    </x:xf>
    <x:xf numFmtId="0" fontId="9" fillId="7" borderId="0" xfId="0" applyFont="1" applyFill="1" applyAlignment="1">
      <x:alignment horizontal="center" vertical="top" wrapText="1"/>
    </x:xf>
    <x:xf numFmtId="0" fontId="9" fillId="6" borderId="0" xfId="0" applyFont="1" applyAlignment="1">
      <x:alignment horizontal="right" vertical="top" wrapText="1"/>
    </x:xf>
    <x:xf numFmtId="0" fontId="9" fillId="6" borderId="0" xfId="0" applyFont="1" applyAlignment="1">
      <x:alignment vertical="top" wrapText="1"/>
    </x:xf>
    <x:xf numFmtId="0" fontId="9" fillId="6" borderId="0" xfId="0" applyFont="1" applyAlignment="1">
      <x:alignment vertical="top" wrapText="1"/>
    </x:xf>
    <x:xf numFmtId="1" fontId="9" fillId="6" borderId="0" xfId="0" applyNumberFormat="1" applyFont="1" applyAlignment="1">
      <x:alignment horizontal="center" vertical="top" wrapText="1"/>
    </x:xf>
    <x:xf numFmtId="1" fontId="9" fillId="6" borderId="0" xfId="0" applyNumberFormat="1" applyFont="1" applyAlignment="1">
      <x:alignment horizontal="center" vertical="top" wrapText="1"/>
    </x:xf>
    <x:xf numFmtId="0" fontId="10" fillId="6" borderId="0" xfId="0" applyFont="1" applyAlignment="1">
      <x:alignment vertical="top" wrapText="1"/>
    </x:xf>
    <x:xf numFmtId="164" fontId="9" fillId="6" borderId="0" xfId="0" applyNumberFormat="1" applyFont="1" applyAlignment="1">
      <x:alignment horizontal="right" vertical="top" wrapText="1"/>
    </x:xf>
    <x:xf numFmtId="0" fontId="4" fillId="0" borderId="0" xfId="0" applyFont="1" applyAlignment="1">
      <x:alignment vertical="bottom" wrapText="1"/>
    </x:xf>
    <x:xf numFmtId="0" fontId="4" fillId="0" borderId="0" xfId="0" applyFont="1" applyAlignment="1">
      <x:alignment horizontal="right" vertical="bottom" wrapText="1"/>
    </x:xf>
    <x:xf numFmtId="0" fontId="4" fillId="0" borderId="0" xfId="0" applyFont="1" applyAlignment="1">
      <x:alignment vertical="bottom"/>
    </x:xf>
    <x:xf numFmtId="164" fontId="4" fillId="0" borderId="0" xfId="0" applyNumberFormat="1" applyFont="1" applyAlignment="1">
      <x:alignment horizontal="right" vertical="bottom"/>
    </x:xf>
    <x:xf numFmtId="0" fontId="9" fillId="7" borderId="0" xfId="0" applyFont="1" applyAlignment="1">
      <x:alignment horizontal="center" vertical="top" wrapText="1"/>
    </x:xf>
    <x:xf numFmtId="0" fontId="6" fillId="0" borderId="0" xfId="0" applyFont="1" applyAlignment="1">
      <x:alignment horizontal="center" vertical="top" wrapText="1"/>
    </x:xf>
    <x:xf numFmtId="0" fontId="6" fillId="0" borderId="0" xfId="0" applyFont="1" applyAlignment="1">
      <x:alignment vertical="top" wrapText="1"/>
    </x:xf>
    <x:xf numFmtId="1" fontId="6" fillId="0" borderId="0" xfId="0" applyNumberFormat="1" applyFont="1" applyAlignment="1">
      <x:alignment horizontal="center" vertical="top" wrapText="1"/>
    </x:xf>
    <x:xf numFmtId="0" fontId="11" fillId="0" borderId="0" xfId="0" applyFont="1" applyAlignment="1">
      <x:alignment vertical="top" wrapText="1"/>
    </x:xf>
    <x:xf numFmtId="164" fontId="6" fillId="0" borderId="0" xfId="0" applyNumberFormat="1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5" fillId="8" borderId="0" xfId="0" applyFont="1" applyFill="1" applyAlignment="1">
      <x:alignment vertical="center"/>
    </x:xf>
    <x:xf numFmtId="0" fontId="5" fillId="8" borderId="0" xfId="0" applyFont="1" applyAlignment="1">
      <x:alignment vertical="center"/>
    </x:xf>
    <x:xf numFmtId="164" fontId="5" fillId="8" borderId="0" xfId="0" applyNumberFormat="1" applyFont="1" applyAlignment="1">
      <x:alignment vertical="center"/>
    </x:xf>
    <x:xf numFmtId="0" fontId="12" fillId="9" borderId="0" xfId="0" applyFont="1" applyFill="1" applyAlignment="1">
      <x:alignment wrapText="1"/>
    </x:xf>
    <x:xf numFmtId="0" fontId="12" fillId="9" borderId="0" xfId="0" applyFont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1" fontId="6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164" fontId="6" fillId="0" borderId="0" xfId="0" applyNumberFormat="1" applyFont="1" applyFill="1" applyBorder="1" applyAlignment="1">
      <x:alignment vertical="top" wrapText="1"/>
    </x:xf>
    <x:xf numFmtId="164" fontId="4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vertical="top" wrapText="1"/>
    </x:xf>
    <x:xf numFmtId="1" fontId="1" fillId="6" borderId="0" xfId="0" applyNumberFormat="1" applyFont="1" applyFill="1" applyBorder="1" applyAlignment="1">
      <x:alignment horizontal="center" vertical="top" wrapText="1"/>
    </x:xf>
    <x:xf numFmtId="0" fontId="10" fillId="6" borderId="0" xfId="0" applyNumberFormat="1" applyFont="1" applyFill="1" applyBorder="1" applyAlignment="1">
      <x:alignment vertical="top" wrapText="1"/>
    </x:xf>
    <x:xf numFmtId="164" fontId="1" fillId="6" borderId="0" xfId="0" applyNumberFormat="1" applyFont="1" applyFill="1" applyBorder="1" applyAlignment="1">
      <x:alignment horizontal="right" vertical="top" wrapText="1"/>
    </x:xf>
    <x:xf numFmtId="0" fontId="4" fillId="0" borderId="0" xfId="0" applyNumberFormat="1" applyFont="1" applyFill="1" applyBorder="1" applyAlignment="1">
      <x:alignment vertical="bottom" wrapText="1"/>
    </x:xf>
    <x:xf numFmtId="0" fontId="4" fillId="0" borderId="0" xfId="0" applyNumberFormat="1" applyFont="1" applyFill="1" applyBorder="1" applyAlignment="1">
      <x:alignment horizontal="right" vertical="bottom" wrapText="1"/>
    </x:xf>
    <x:xf numFmtId="0" fontId="4" fillId="0" borderId="0" xfId="0" applyNumberFormat="1" applyFont="1" applyFill="1" applyBorder="1" applyAlignment="1">
      <x:alignment vertical="bottom"/>
    </x:xf>
    <x:xf numFmtId="164" fontId="4" fillId="0" borderId="0" xfId="0" applyNumberFormat="1" applyFont="1" applyFill="1" applyBorder="1" applyAlignment="1">
      <x:alignment horizontal="right" vertical="bottom"/>
    </x:xf>
    <x:xf numFmtId="0" fontId="5" fillId="8" borderId="0" xfId="0" applyNumberFormat="1" applyFont="1" applyFill="1" applyBorder="1" applyAlignment="1">
      <x:alignment vertical="center"/>
    </x:xf>
    <x:xf numFmtId="164" fontId="5" fillId="8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bottom" wrapText="0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1" fontId="6" fillId="0" borderId="0" xfId="0" applyNumberFormat="1" applyFont="1" applyFill="1" applyBorder="1" applyAlignment="1">
      <x:alignment horizontal="left" vertical="top" wrapText="1"/>
    </x:xf>
    <x:xf numFmtId="0" fontId="7" fillId="0" borderId="0" xfId="0" applyNumberFormat="1" applyFont="1" applyFill="1" applyBorder="1" applyAlignment="1">
      <x:alignment horizontal="left" vertical="top" wrapText="1"/>
    </x:xf>
    <x:xf numFmtId="164" fontId="6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/>
    </x:xf>
    <x:xf numFmtId="164" fontId="4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1" fontId="1" fillId="6" borderId="0" xfId="0" applyNumberFormat="1" applyFont="1" applyFill="1" applyBorder="1" applyAlignment="1">
      <x:alignment horizontal="left" vertical="top" wrapText="1"/>
    </x:xf>
    <x:xf numFmtId="0" fontId="10" fillId="6" borderId="0" xfId="0" applyNumberFormat="1" applyFont="1" applyFill="1" applyBorder="1" applyAlignment="1">
      <x:alignment horizontal="left" vertical="top" wrapText="1"/>
    </x:xf>
    <x:xf numFmtId="164" fontId="1" fillId="6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bottom" wrapText="1"/>
    </x:xf>
    <x:xf numFmtId="0" fontId="4" fillId="0" borderId="0" xfId="0" applyNumberFormat="1" applyFont="1" applyFill="1" applyBorder="1" applyAlignment="1">
      <x:alignment horizontal="left" vertical="bottom"/>
    </x:xf>
    <x:xf numFmtId="164" fontId="4" fillId="0" borderId="0" xfId="0" applyNumberFormat="1" applyFont="1" applyFill="1" applyBorder="1" applyAlignment="1">
      <x:alignment horizontal="left" vertical="bottom"/>
    </x:xf>
    <x:xf numFmtId="0" fontId="5" fillId="8" borderId="0" xfId="0" applyNumberFormat="1" applyFont="1" applyFill="1" applyBorder="1" applyAlignment="1">
      <x:alignment horizontal="left" vertical="center"/>
    </x:xf>
    <x:xf numFmtId="164" fontId="5" fillId="8" borderId="0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center" vertical="bottom" wrapText="0"/>
    </x:xf>
    <x:xf numFmtId="0" fontId="5" fillId="8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horizontal="center" wrapText="1"/>
    </x:xf>
    <x:xf numFmtId="164" fontId="6" fillId="0" borderId="0" xfId="0" applyNumberFormat="1" applyFont="1" applyFill="1" applyBorder="1" applyAlignment="1">
      <x:alignment horizontal="center" vertical="top" wrapText="1"/>
    </x:xf>
    <x:xf numFmtId="164" fontId="1" fillId="6" borderId="0" xfId="0" applyNumberFormat="1" applyFont="1" applyFill="1" applyBorder="1" applyAlignment="1">
      <x:alignment horizontal="center" vertical="top" wrapText="1"/>
    </x:xf>
    <x:xf numFmtId="164" fontId="5" fillId="8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164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bottom"/>
    </x:xf>
    <x:xf numFmtId="164" fontId="4" fillId="0" borderId="0" xfId="0" applyNumberFormat="1" applyFont="1" applyFill="1" applyBorder="1" applyAlignment="1">
      <x:alignment horizontal="center" vertical="bottom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horizontal="center" vertical="bottom" wrapText="0"/>
    </x:xf>
    <x:xf numFmtId="0" fontId="2" fillId="10" borderId="0" xfId="0" applyNumberFormat="1" applyFont="1" applyFill="1" applyBorder="1" applyAlignment="1">
      <x:alignment horizontal="center" vertical="bottom" wrapText="0"/>
    </x:xf>
    <x:xf numFmtId="0" fontId="2" fillId="1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left" vertical="bottom" wrapText="1"/>
    </x:xf>
    <x:xf numFmtId="0" fontId="1" fillId="0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6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ill>
        <x:patternFill>
          <x:bgColor rgb="FFD9EAD3"/>
        </x:patternFill>
      </x:fill>
      <x:border/>
    </x:dxf>
    <x:dxf>
      <x:fill>
        <x:patternFill>
          <x:bgColor rgb="FFFFF2CC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76a9cfa1a43cd" /><Relationship Type="http://schemas.openxmlformats.org/officeDocument/2006/relationships/theme" Target="/xl/theme/theme1.xml" Id="R79751f5893504f09" /><Relationship Type="http://schemas.openxmlformats.org/officeDocument/2006/relationships/sharedStrings" Target="/xl/sharedStrings.xml" Id="Rccc16a4c44a44663" /><Relationship Type="http://schemas.openxmlformats.org/officeDocument/2006/relationships/worksheet" Target="/xl/worksheets/sheet1.xml" Id="R23d3894427734b90" /><Relationship Type="http://schemas.openxmlformats.org/officeDocument/2006/relationships/worksheet" Target="/xl/worksheets/sheet2.xml" Id="Rfeb0cff2775c43cc" /><Relationship Type="http://schemas.openxmlformats.org/officeDocument/2006/relationships/worksheet" Target="/xl/worksheets/sheet3.xml" Id="R047d5bd82c7e43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58636e6ccd84d05" /><Relationship Type="http://schemas.openxmlformats.org/officeDocument/2006/relationships/image" Target="/xl/media/image2.png" Id="R57045ed4e615427a" /></Relationships>
</file>

<file path=xl/drawings/drawing1.xml><?xml version="1.0" encoding="utf-8"?>
<xdr:wsDr xmlns:xdr="http://schemas.openxmlformats.org/drawingml/2006/spreadsheetDrawing">
  <xdr:oneCellAnchor>
    <xdr:from>
      <xdr:col>10</xdr:col>
      <xdr:colOff>0</xdr:colOff>
      <xdr:row>21</xdr:row>
      <xdr:rowOff>0</xdr:rowOff>
    </xdr:from>
    <xdr:ext cx="1066800" cy="6191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8636e6ccd84d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23</xdr:row>
      <xdr:rowOff>0</xdr:rowOff>
    </xdr:from>
    <xdr:ext cx="1066800" cy="7620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45ed4e615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_1" displayName="Table_1" ref="A4:L25">
  <x:tableColumns count="12">
    <x:tableColumn id="1" name="מס׳"/>
    <x:tableColumn id="2" name="סטטוס"/>
    <x:tableColumn id="3" name="תת מערכת"/>
    <x:tableColumn id="4" name="רכיב"/>
    <x:tableColumn id="5" name="מפרט לחיפוש / דגם"/>
    <x:tableColumn id="6" name="כמות ליחידה"/>
    <x:tableColumn id="7" name="כמות לסדנה"/>
    <x:tableColumn id="8" name="סוג קישור"/>
    <x:tableColumn id="9" name="קישור AliExpress חיפוש"/>
    <x:tableColumn id="10" name="קישור AliExpress פריט"/>
    <x:tableColumn id="11" name="מחיר יחידה בשח"/>
    <x:tableColumn id="12" name="הערות"/>
  </x:tableColumns>
  <x:tableStyleInfo name="BOM_Electronics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d07778d54e45d4" /><Relationship Type="http://schemas.openxmlformats.org/officeDocument/2006/relationships/table" Target="/xl/tables/table1.xml" Id="R6875a8e6b4f34797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7" customWidth="1"/>
    <x:col min="2" max="2" width="12" customWidth="1"/>
    <x:col min="3" max="3" width="16" customWidth="1"/>
    <x:col min="4" max="4" width="28" customWidth="1"/>
    <x:col min="5" max="5" width="42" customWidth="1"/>
    <x:col min="6" max="8" width="12" customWidth="1"/>
    <x:col min="9" max="10" width="24" customWidth="1"/>
    <x:col min="11" max="11" width="14" customWidth="1"/>
    <x:col min="12" max="12" width="32" customWidth="1"/>
    <x:col min="13" max="13" width="34" customWidth="1"/>
    <x:col min="14" max="14" width="28" customWidth="1"/>
    <x:col min="15" max="15" width="14" customWidth="1"/>
    <x:col min="16" max="17" width="18" customWidth="1"/>
    <x:col min="18" max="27" width="8.630000114440918" customWidth="1"/>
  </x:cols>
  <x:sheetData>
    <x:row r="1" ht="30" customHeight="1">
      <x:c r="A1" s="52" t="str">
        <x:v>Electronic Components BOM - ESP32 Jukebox with Display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</x:row>
    <x:row r="2">
      <x:c r="A2" s="81" t="str">
        <x:v>Number of workshop kits</x:v>
      </x:c>
      <x:c r="B2" s="82">
        <x:v>20.0</x:v>
      </x:c>
      <x:c r="C2" s="81"/>
      <x:c r="D2" s="81" t="str">
        <x:v>Created on</x:v>
      </x:c>
      <x:c r="E2" s="81" t="s">
        <x:v>0</x:v>
      </x:c>
      <x:c r="F2" s="81"/>
      <x:c r="G2" s="81" t="str">
        <x:v>Note</x:v>
      </x:c>
      <x:c r="H2" s="81" t="str">
        <x:v>The links are AliExpress search links, except for the ESP32 board, where the provided link was used.</x:v>
      </x:c>
      <x:c r="I2" s="81"/>
      <x:c r="J2" s="81"/>
      <x:c r="K2" s="81"/>
      <x:c r="L2" s="81"/>
      <x:c r="M2" s="80"/>
      <x:c r="N2" s="80"/>
      <x:c r="O2" s="80"/>
      <x:c r="P2" s="80"/>
      <x:c r="Q2" s="80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</x:row>
    <x:row r="4">
      <x:c r="A4" s="53" t="str">
        <x:v>No.</x:v>
      </x:c>
      <x:c r="B4" s="53" t="str">
        <x:v>Status</x:v>
      </x:c>
      <x:c r="C4" s="53" t="str">
        <x:v>Subsystem</x:v>
      </x:c>
      <x:c r="D4" s="53" t="str">
        <x:v>Component</x:v>
      </x:c>
      <x:c r="E4" s="53" t="str">
        <x:v>Search Specification / Model</x:v>
      </x:c>
      <x:c r="F4" s="53" t="str">
        <x:v>Qty per Unit</x:v>
      </x:c>
      <x:c r="G4" s="53" t="str">
        <x:v>Qty for Workshop</x:v>
      </x:c>
      <x:c r="H4" s="53" t="str">
        <x:v>Link Type</x:v>
      </x:c>
      <x:c r="I4" s="53" t="str">
        <x:v>AliExpress Search Link</x:v>
      </x:c>
      <x:c r="J4" s="53" t="str">
        <x:v>AliExpress Item Link</x:v>
      </x:c>
      <x:c r="K4" s="53" t="str">
        <x:v>Unit Price (ILS)</x:v>
      </x:c>
      <x:c r="L4" s="53" t="str">
        <x:v>Notes</x:v>
      </x:c>
      <x:c r="M4" s="57" t="str">
        <x:v>Price Source</x:v>
      </x:c>
      <x:c r="N4" s="57" t="str">
        <x:v>Price Note</x:v>
      </x:c>
      <x:c r="O4" s="57" t="str">
        <x:v>Checked On</x:v>
      </x:c>
      <x:c r="P4" s="57" t="str">
        <x:v>Estimated Cost per Project</x:v>
      </x:c>
      <x:c r="Q4" s="57" t="str">
        <x:v>Estimated Cost for Workshop</x:v>
      </x:c>
    </x:row>
    <x:row r="5">
      <x:c r="A5" s="58">
        <x:v>1.0</x:v>
      </x:c>
      <x:c r="B5" s="58" t="str">
        <x:v>Required</x:v>
      </x:c>
      <x:c r="C5" s="85" t="str">
        <x:v>Control and Interface</x:v>
      </x:c>
      <x:c r="D5" s="85" t="str">
        <x:v>ESP32 board with 2.8-inch TFT display</x:v>
      </x:c>
      <x:c r="E5" s="85" t="s">
        <x:v>1</x:v>
      </x:c>
      <x:c r="F5" s="60">
        <x:v>1.0</x:v>
      </x:c>
      <x:c r="G5" s="60" t="n">
        <x:f t="shared" ref="G5:G9" si="1">F5*$B$2</x:f>
        <x:v>20</x:v>
      </x:c>
      <x:c r="H5" s="85" t="str">
        <x:v>Specific Product</x:v>
      </x:c>
      <x:c r="I5" s="85"/>
      <x:c r="J5" s="87" t="s">
        <x:v>2</x:v>
      </x:c>
      <x:c r="K5" s="107">
        <x:v>66.0</x:v>
      </x:c>
      <x:c r="L5" s="85" t="str">
        <x:v>Main system board. Use the provided link.</x:v>
      </x:c>
      <x:c r="M5" s="89"/>
      <x:c r="N5" s="89" t="str">
        <x:v>Price based on the screenshot supplied by the user.</x:v>
      </x:c>
      <x:c r="O5" s="110" t="s">
        <x:v>3</x:v>
      </x:c>
      <x:c r="P5" s="111" t="n">
        <x:f t="shared" ref="P5:P6" si="3">IF(K5="","",ROUND(F5*K5,2))</x:f>
        <x:v>66</x:v>
      </x:c>
      <x:c r="Q5" s="111" t="n">
        <x:f t="shared" ref="Q5:Q6" si="4">IF(K5="","",ROUND(G5*K5,2))</x:f>
        <x:v>1320</x:v>
      </x:c>
    </x:row>
    <x:row r="6">
      <x:c r="A6" s="58">
        <x:v>3.0</x:v>
      </x:c>
      <x:c r="B6" s="58" t="str">
        <x:v>Required</x:v>
      </x:c>
      <x:c r="C6" s="85" t="str">
        <x:v>Storage</x:v>
      </x:c>
      <x:c r="D6" s="85" t="str">
        <x:v>microSD card</x:v>
      </x:c>
      <x:c r="E6" s="85" t="s">
        <x:v>4</x:v>
      </x:c>
      <x:c r="F6" s="60">
        <x:v>1.0</x:v>
      </x:c>
      <x:c r="G6" s="60">
        <x:f t="shared" si="1"/>
        <x:v>20</x:v>
      </x:c>
      <x:c r="H6" s="85" t="str">
        <x:v>Search</x:v>
      </x:c>
      <x:c r="I6" s="92" t="str">
        <x:f t="shared" ref="I6:J6" si="2">HYPERLINK("https://he.aliexpress.com/item/1005012379392487.html?spm=a2g0o.productlist.main.2.438ajqYXjqYXYh&amp;algo_pvid=7b7ef602-dd2b-42c2-b249-7df46f4261fa&amp;algo_exp_id=7b7ef602-dd2b-42c2-b249-7df46f4261fa-1&amp;pdp_ext_f=%7B%22order%22%3A%22-1%22%2C%22eval%22%3A%221%22%2"&amp;"C%22fromPage%22%3A%22search%22%7D&amp;pdp_npi=6%40dis%21ILS%2110.78%216.94%21%21%2125.28%2116.28%21%402101246417804091579602780eeca7%2112000058210531511%21sea%21IL%21782865507%21X%211%210%21n_tag%3A-29919%3Bd%3A933ad9f8%3Bm03_new_user%3A-29895&amp;curPageLogUid=w"&amp;"qGPafY1MSsf&amp;utparam-url=scene%3Asearch%7Cquery_from%3A%7Cx_object_id%3A1005012379392487%7C_p_origin_prod%3A",D6)</x:f>
        <x:v>microSD card</x:v>
      </x:c>
      <x:c r="J6" s="92" t="str">
        <x:f t="shared" si="2"/>
        <x:v>microSD card 8GB or 16GB, Class 10</x:v>
      </x:c>
      <x:c r="K6" s="107">
        <x:v>12.0</x:v>
      </x:c>
      <x:c r="L6" s="85" t="str">
        <x:v>For storing MP3 files. Format the card according to DFPlayer requirements.</x:v>
      </x:c>
      <x:c r="M6" s="89" t="s">
        <x:v>5</x:v>
      </x:c>
      <x:c r="N6" s="89" t="str">
        <x:v>Price found in an external AliExpress price-tracking source.</x:v>
      </x:c>
      <x:c r="O6" s="110" t="s">
        <x:v>3</x:v>
      </x:c>
      <x:c r="P6" s="111">
        <x:f t="shared" si="3"/>
        <x:v>12</x:v>
      </x:c>
      <x:c r="Q6" s="111">
        <x:f t="shared" si="4"/>
        <x:v>240</x:v>
      </x:c>
    </x:row>
    <x:row r="7">
      <x:c r="A7" s="65">
        <x:v>5.0</x:v>
      </x:c>
      <x:c r="B7" s="66" t="str">
        <x:v>Required</x:v>
      </x:c>
      <x:c r="C7" s="93" t="str">
        <x:v>Buttons</x:v>
      </x:c>
      <x:c r="D7" s="93" t="str">
        <x:v>Blue push button x25</x:v>
      </x:c>
      <x:c r="E7" s="93" t="s">
        <x:v>6</x:v>
      </x:c>
      <x:c r="F7" s="69">
        <x:v>1.0</x:v>
      </x:c>
      <x:c r="G7" s="69">
        <x:f t="shared" si="1"/>
        <x:v>20</x:v>
      </x:c>
      <x:c r="H7" s="93" t="str">
        <x:v>Search</x:v>
      </x:c>
      <x:c r="I7" s="96" t="str">
        <x:f t="shared" ref="I7:I9" si="5">HYPERLINK("https://he.aliexpress.com/w/wholesale-arcade-push-button-momentary-24mm-30mm.html",D7)</x:f>
        <x:v>Blue push button x25</x:v>
      </x:c>
      <x:c r="J7" s="96" t="e">
        <x:f t="shared" ref="J7:J9" si="6">HYPERLINK("https://he.aliexpress.com/item/1005003514180571.html?spm=a2g0o.productlist.main.15.7cc7IQu8IQu8lj&amp;algo_pvid=5729e8fc-bb6b-46a8-a975-71d25b28a37c&amp;algo_exp_id=5729e8fc-bb6b-46a8-a975-71d25b28a37c-14&amp;pdp_ext_f=%7B%22order%22%3A%221657%22%2C%22eval%22%3A%221%"&amp;"22%2C%22fromPage%22%3A%22search%22%7D&amp;pdp_npi=6%40dis%21ILS%215.83%215.19%21%21%212.02%211.80%21%4021010d9017804101484364575e504a%2112000026128103715%21sea%21IL%21782865507%21X%211%210%21n_tag%3A-29919%3Bd%3A933ad9f8%3Bm03_new_user%3A-29895%3BpisId%3A5000"&amp;"000208189057&amp;curPageLogUid=TK7cZRol2Hej&amp;utparam-url=scene%3Asearch%7Cquery_from%3A%7Cx_object_id%3A1005003514180571%7C_p_origin_prod%3A",E7)</x:f>
      </x:c>
      <x:c r="K7" s="108">
        <x:v>5.0</x:v>
      </x:c>
      <x:c r="L7" s="93" t="str">
        <x:v>Basic quantity for a jukebox with Play, Next, Previous, Volume, Select, and selection buttons.</x:v>
      </x:c>
      <x:c r="M7" s="98" t="s">
        <x:v>7</x:v>
      </x:c>
      <x:c r="N7" s="98" t="str">
        <x:v>Unit price calculated from a 10-piece pack.</x:v>
      </x:c>
      <x:c r="O7" s="112" t="s">
        <x:v>3</x:v>
      </x:c>
      <x:c r="P7" s="113" t="n">
        <x:f t="shared" ref="P7:P9" si="7">IF(K7="","",ROUND(F7*K7,2))</x:f>
        <x:v>5</x:v>
      </x:c>
      <x:c r="Q7" s="113" t="n">
        <x:f t="shared" ref="Q7:Q9" si="8">IF(K7="","",ROUND(G7*K7,2))</x:f>
        <x:v>100</x:v>
      </x:c>
      <x:c r="R7" s="36"/>
      <x:c r="S7" s="36"/>
      <x:c r="T7" s="36"/>
      <x:c r="U7" s="36"/>
      <x:c r="V7" s="36"/>
      <x:c r="W7" s="36"/>
      <x:c r="X7" s="36"/>
      <x:c r="Y7" s="36"/>
      <x:c r="Z7" s="36"/>
      <x:c r="AA7" s="36"/>
    </x:row>
    <x:row r="8">
      <x:c r="A8" s="65">
        <x:v>5.0</x:v>
      </x:c>
      <x:c r="B8" s="66" t="str">
        <x:v>Required</x:v>
      </x:c>
      <x:c r="C8" s="93" t="str">
        <x:v>Buttons</x:v>
      </x:c>
      <x:c r="D8" s="93" t="str">
        <x:v>Red push button x25</x:v>
      </x:c>
      <x:c r="E8" s="93" t="s">
        <x:v>6</x:v>
      </x:c>
      <x:c r="F8" s="69">
        <x:v>1.0</x:v>
      </x:c>
      <x:c r="G8" s="69">
        <x:f t="shared" si="1"/>
        <x:v>20</x:v>
      </x:c>
      <x:c r="H8" s="93" t="str">
        <x:v>Search</x:v>
      </x:c>
      <x:c r="I8" s="96" t="str">
        <x:f t="shared" si="5"/>
        <x:v>Red push button x25</x:v>
      </x:c>
      <x:c r="J8" s="96" t="str">
        <x:f t="shared" si="6"/>
        <x:v>Arcade push button momentary 24mm or 30mm, NO contact</x:v>
      </x:c>
      <x:c r="K8" s="108">
        <x:v>5.0</x:v>
      </x:c>
      <x:c r="L8" s="93" t="str">
        <x:v>Basic quantity for a jukebox with Play, Next, Previous, Volume, Select, and selection buttons.</x:v>
      </x:c>
      <x:c r="M8" s="98" t="s">
        <x:v>7</x:v>
      </x:c>
      <x:c r="N8" s="98" t="str">
        <x:v>Unit price calculated from a 10-piece pack.</x:v>
      </x:c>
      <x:c r="O8" s="112" t="s">
        <x:v>3</x:v>
      </x:c>
      <x:c r="P8" s="113">
        <x:f t="shared" si="7"/>
        <x:v>5</x:v>
      </x:c>
      <x:c r="Q8" s="113">
        <x:f t="shared" si="8"/>
        <x:v>100</x:v>
      </x:c>
      <x:c r="R8" s="36"/>
      <x:c r="S8" s="36"/>
      <x:c r="T8" s="36"/>
      <x:c r="U8" s="36"/>
      <x:c r="V8" s="36"/>
      <x:c r="W8" s="36"/>
      <x:c r="X8" s="36"/>
      <x:c r="Y8" s="36"/>
      <x:c r="Z8" s="36"/>
      <x:c r="AA8" s="36"/>
    </x:row>
    <x:row r="9">
      <x:c r="A9" s="65">
        <x:v>5.0</x:v>
      </x:c>
      <x:c r="B9" s="66" t="str">
        <x:v>Required</x:v>
      </x:c>
      <x:c r="C9" s="93" t="str">
        <x:v>Buttons</x:v>
      </x:c>
      <x:c r="D9" s="93" t="str">
        <x:v>White push button x25</x:v>
      </x:c>
      <x:c r="E9" s="93" t="s">
        <x:v>6</x:v>
      </x:c>
      <x:c r="F9" s="69">
        <x:v>1.0</x:v>
      </x:c>
      <x:c r="G9" s="69">
        <x:f t="shared" si="1"/>
        <x:v>20</x:v>
      </x:c>
      <x:c r="H9" s="93" t="str">
        <x:v>Search</x:v>
      </x:c>
      <x:c r="I9" s="96" t="str">
        <x:f t="shared" si="5"/>
        <x:v>White push button x25</x:v>
      </x:c>
      <x:c r="J9" s="96" t="str">
        <x:f t="shared" si="6"/>
        <x:v>Arcade push button momentary 24mm or 30mm, NO contact</x:v>
      </x:c>
      <x:c r="K9" s="108">
        <x:v>5.0</x:v>
      </x:c>
      <x:c r="L9" s="93" t="str">
        <x:v>Basic quantity for a jukebox with Play, Next, Previous, Volume, Select, and selection buttons.</x:v>
      </x:c>
      <x:c r="M9" s="98" t="s">
        <x:v>7</x:v>
      </x:c>
      <x:c r="N9" s="98" t="str">
        <x:v>Unit price calculated from a 10-piece pack.</x:v>
      </x:c>
      <x:c r="O9" s="112" t="s">
        <x:v>3</x:v>
      </x:c>
      <x:c r="P9" s="113">
        <x:f t="shared" si="7"/>
        <x:v>5</x:v>
      </x:c>
      <x:c r="Q9" s="113">
        <x:f t="shared" si="8"/>
        <x:v>100</x:v>
      </x:c>
      <x:c r="R9" s="36"/>
      <x:c r="S9" s="36"/>
      <x:c r="T9" s="36"/>
      <x:c r="U9" s="36"/>
      <x:c r="V9" s="36"/>
      <x:c r="W9" s="36"/>
      <x:c r="X9" s="36"/>
      <x:c r="Y9" s="36"/>
      <x:c r="Z9" s="36"/>
      <x:c r="AA9" s="36"/>
    </x:row>
    <x:row r="10" ht="72" customHeight="1">
      <x:c r="A10" s="58"/>
      <x:c r="B10" s="58" t="str">
        <x:v>Required</x:v>
      </x:c>
      <x:c r="C10" s="85" t="str">
        <x:v>Heat-Shrink Tubing</x:v>
      </x:c>
      <x:c r="D10" s="85" t="str">
        <x:v>Workshop kit</x:v>
      </x:c>
      <x:c r="E10" s="85"/>
      <x:c r="F10" s="60"/>
      <x:c r="G10" s="60">
        <x:v>1.0</x:v>
      </x:c>
      <x:c r="H10" s="85"/>
      <x:c r="I10" s="92"/>
      <x:c r="J10" s="92" t="e">
        <x:f>HYPERLINK("https://he.aliexpress.com/item/1005011926896084.html?spm=a2g0o.productlist.main.5.76c65af5sogI9V&amp;algo_pvid=32d413d8-b755-45a7-8508-396050f27300&amp;algo_exp_id=32d413d8-b755-45a7-8508-396050f27300-4&amp;pdp_ext_f=%7B%22order%22%3A%22290%22%2C%22spu_best_type%22%3"&amp;"A%22price%22%2C%22eval%22%3A%221%22%2C%22fromPage%22%3A%22search%22%7D&amp;pdp_npi=6%40dis%21ILS%2115.38%217.69%21%21%2133.51%2116.75%21%4021413b0b17845515182015967e1095%2112000057039129511%21sea%21IL%21782865507%21X%211%210%21n_tag%3A-29919%3Bd%3A933ad9f8%3B"&amp;"m03_new_user%3A-29895&amp;curPageLogUid=MYg3zF1CkI8u&amp;utparam-url=scene%3Asearch%7Cquery_from%3A%7Cx_object_id%3A1005011926896084%7C_p_origin_prod%3A",E10)</x:f>
      </x:c>
      <x:c r="K10" s="107"/>
      <x:c r="L10" s="85"/>
      <x:c r="M10" s="89"/>
      <x:c r="N10" s="89"/>
      <x:c r="O10" s="104"/>
      <x:c r="P10" s="111"/>
      <x:c r="Q10" s="111"/>
    </x:row>
    <x:row r="11">
      <x:c r="A11" s="58"/>
      <x:c r="B11" s="58" t="str">
        <x:v>Required</x:v>
      </x:c>
      <x:c r="C11" s="85" t="str">
        <x:v>Resistors</x:v>
      </x:c>
      <x:c r="D11" s="85" t="str">
        <x:v>1 kOhm resistors</x:v>
      </x:c>
      <x:c r="E11" s="85"/>
      <x:c r="F11" s="60"/>
      <x:c r="G11" s="60"/>
      <x:c r="H11" s="85"/>
      <x:c r="I11" s="92"/>
      <x:c r="J11" s="92"/>
      <x:c r="K11" s="107"/>
      <x:c r="L11" s="85"/>
      <x:c r="M11" s="89"/>
      <x:c r="N11" s="89"/>
      <x:c r="O11" s="104"/>
      <x:c r="P11" s="111"/>
      <x:c r="Q11" s="111"/>
    </x:row>
    <x:row r="12">
      <x:c r="A12" s="58"/>
      <x:c r="B12" s="58" t="str">
        <x:v>Required</x:v>
      </x:c>
      <x:c r="C12" s="85" t="str">
        <x:v>White Glue</x:v>
      </x:c>
      <x:c r="D12" s="85"/>
      <x:c r="E12" s="85"/>
      <x:c r="F12" s="60"/>
      <x:c r="G12" s="60"/>
      <x:c r="H12" s="85"/>
      <x:c r="I12" s="92"/>
      <x:c r="J12" s="92"/>
      <x:c r="K12" s="107"/>
      <x:c r="L12" s="85"/>
      <x:c r="M12" s="89"/>
      <x:c r="N12" s="89"/>
      <x:c r="O12" s="104"/>
      <x:c r="P12" s="111"/>
      <x:c r="Q12" s="111"/>
    </x:row>
    <x:row r="13">
      <x:c r="A13" s="58"/>
      <x:c r="B13" s="58" t="str">
        <x:v>Required</x:v>
      </x:c>
      <x:c r="C13" s="85" t="str">
        <x:v>Instant Glue</x:v>
      </x:c>
      <x:c r="D13" s="85"/>
      <x:c r="E13" s="85"/>
      <x:c r="F13" s="60"/>
      <x:c r="G13" s="60"/>
      <x:c r="H13" s="85"/>
      <x:c r="I13" s="92"/>
      <x:c r="J13" s="92"/>
      <x:c r="K13" s="107"/>
      <x:c r="L13" s="85"/>
      <x:c r="M13" s="89"/>
      <x:c r="N13" s="89"/>
      <x:c r="O13" s="104"/>
      <x:c r="P13" s="111"/>
      <x:c r="Q13" s="111"/>
    </x:row>
    <x:row r="14">
      <x:c r="A14" s="58"/>
      <x:c r="B14" s="58" t="str">
        <x:v>Required</x:v>
      </x:c>
      <x:c r="C14" s="85" t="str">
        <x:v>Double-Sided Tape</x:v>
      </x:c>
      <x:c r="D14" s="85"/>
      <x:c r="E14" s="85"/>
      <x:c r="F14" s="60"/>
      <x:c r="G14" s="60"/>
      <x:c r="H14" s="85"/>
      <x:c r="I14" s="92"/>
      <x:c r="J14" s="92"/>
      <x:c r="K14" s="107"/>
      <x:c r="L14" s="85"/>
      <x:c r="M14" s="89"/>
      <x:c r="N14" s="89"/>
      <x:c r="O14" s="104"/>
      <x:c r="P14" s="111"/>
      <x:c r="Q14" s="111"/>
    </x:row>
    <x:row r="15">
      <x:c r="A15" s="58"/>
      <x:c r="B15" s="58" t="str">
        <x:v>Required</x:v>
      </x:c>
      <x:c r="C15" s="85" t="str">
        <x:v>M3 x 10 mm Screws</x:v>
      </x:c>
      <x:c r="D15" s="85"/>
      <x:c r="E15" s="85"/>
      <x:c r="F15" s="60">
        <x:v>4.0</x:v>
      </x:c>
      <x:c r="G15" s="60">
        <x:v>100.0</x:v>
      </x:c>
      <x:c r="H15" s="85"/>
      <x:c r="I15" s="92"/>
      <x:c r="J15" s="92"/>
      <x:c r="K15" s="107"/>
      <x:c r="L15" s="85"/>
      <x:c r="M15" s="89"/>
      <x:c r="N15" s="89"/>
      <x:c r="O15" s="104"/>
      <x:c r="P15" s="111"/>
      <x:c r="Q15" s="111"/>
    </x:row>
    <x:row r="16">
      <x:c r="A16" s="58">
        <x:v>16.0</x:v>
      </x:c>
      <x:c r="B16" s="58" t="str">
        <x:v>Optional</x:v>
      </x:c>
      <x:c r="C16" s="85" t="str">
        <x:v>Assembly</x:v>
      </x:c>
      <x:c r="D16" s="85" t="str">
        <x:v>Solderable Perfboard</x:v>
      </x:c>
      <x:c r="E16" s="85" t="s">
        <x:v>8</x:v>
      </x:c>
      <x:c r="F16" s="60">
        <x:v>1.0</x:v>
      </x:c>
      <x:c r="G16" s="60" t="n">
        <x:f t="shared" ref="G16:G22" si="9">F16*$B$2</x:f>
        <x:v>20</x:v>
      </x:c>
      <x:c r="H16" s="85" t="str">
        <x:v>Search</x:v>
      </x:c>
      <x:c r="I16" s="92" t="str">
        <x:v>Solderable Perfboard</x:v>
      </x:c>
      <x:c r="J16" s="92" t="e">
        <x:f>HYPERLINK("https://he.aliexpress.com/item/1005008733140767.html?spm=a2g0o.detail.pcDetailTopMoreOtherSeller.2.1438tSdhtSdhKr&amp;gps-id=pcDetailTopMoreOtherSeller&amp;scm=1007.40050.354490.0&amp;scm_id=1007.40050.354490.0&amp;scm-url=1007.40050.354490.0&amp;pvid=b1cca3c1-e5a2-4952-9a14"&amp;"-c0cfd76278df&amp;_t=gps-id%3ApcDetailTopMoreOtherSeller%2Cscm-url%3A1007.40050.354490.0%2Cpvid%3Ab1cca3c1-e5a2-4952-9a14-c0cfd76278df%2Ctpp_buckets%3A668%232846%238114%231999&amp;pdp_ext_f=%7B%22order%22%3A%22368%22%2C%22eval%22%3A%221%22%2C%22sceneId%22%3A%2230"&amp;"050%22%2C%22fromPage%22%3A%22recommend%22%7D&amp;pdp_npi=6%40dis%21ILS%2120.85%2110.43%21%21%2148.88%2124.44%21%40212a70c017804137746897899ed3f1%2112000046438970753%21rec%21IL%21782865507%21X%211%210%21n_tag%3A-29919%3Bd%3A933ad9f8%3Bm03_new_user%3A-29895&amp;utp"&amp;"aram-url=scene%3ApcDetailTopMoreOtherSeller%7Cquery_from%3A%7Cx_object_id%3A1005008733140767%7C_p_origin_prod%3A",E16)</x:f>
      </x:c>
      <x:c r="K16" s="107"/>
      <x:c r="L16" s="85" t="str">
        <x:v>For a permanent and clean installation inside the enclosure.</x:v>
      </x:c>
      <x:c r="M16" s="89"/>
      <x:c r="N16" s="89"/>
      <x:c r="O16" s="104"/>
      <x:c r="P16" s="111" t="str">
        <x:f t="shared" ref="P16:P17" si="10">IF(K16="","",ROUND(F16*K16,2))</x:f>
      </x:c>
      <x:c r="Q16" s="111" t="str">
        <x:f t="shared" ref="Q16:Q17" si="11">IF(K16="","",ROUND(G16*K16,2))</x:f>
      </x:c>
    </x:row>
    <x:row r="17">
      <x:c r="A17" s="58">
        <x:v>4.0</x:v>
      </x:c>
      <x:c r="B17" s="58" t="str">
        <x:v>Optional</x:v>
      </x:c>
      <x:c r="C17" s="85" t="str">
        <x:v>Input Expansion</x:v>
      </x:c>
      <x:c r="D17" s="85" t="s">
        <x:v>9</x:v>
      </x:c>
      <x:c r="E17" s="85" t="s">
        <x:v>10</x:v>
      </x:c>
      <x:c r="F17" s="60">
        <x:v>1.0</x:v>
      </x:c>
      <x:c r="G17" s="60">
        <x:f t="shared" si="9"/>
        <x:v>20</x:v>
      </x:c>
      <x:c r="H17" s="85" t="str">
        <x:v>Search</x:v>
      </x:c>
      <x:c r="I17" s="92" t="e">
        <x:f>HYPERLINK("https://he.aliexpress.com/w/wholesale-MCP23017-I2C-GPIO-expander-module.html",D17)</x:f>
      </x:c>
      <x:c r="J17" s="92" t="e">
        <x:f>HYPERLINK("https://he.aliexpress.com/item/1005009520862205.html?aff_fcid=1b442f29b31d45cdb2edfcf8aff6480c-1780410014772-00960-_c3dLGmFL&amp;aff_fsk=_c3dLGmFL&amp;aff_platform=api-new-link-generate&amp;sk=_c3dLGmFL&amp;aff_trace_key=1b442f29b31d45cdb2edfcf8aff6480c-1780410014772-009"&amp;"60-_c3dLGmFL&amp;terminal_id=d6a1007c428f4d6c85b9160ca659bcd6&amp;afSmartRedirect=y&amp;gatewayAdapt=glo2isr",E17)</x:f>
      </x:c>
      <x:c r="K17" s="107">
        <x:v>6.68</x:v>
      </x:c>
      <x:c r="L17" s="85" t="str">
        <x:v>Connects most of the buttons without using up the display board's GPIO pins.</x:v>
      </x:c>
      <x:c r="M17" s="89" t="s">
        <x:v>11</x:v>
      </x:c>
      <x:c r="N17" s="89" t="str">
        <x:v>Price found in an external AliExpress price-tracking source.</x:v>
      </x:c>
      <x:c r="O17" s="110" t="s">
        <x:v>3</x:v>
      </x:c>
      <x:c r="P17" s="111">
        <x:f t="shared" si="10"/>
        <x:v>6.68</x:v>
      </x:c>
      <x:c r="Q17" s="111">
        <x:f t="shared" si="11"/>
        <x:v>133.6</x:v>
      </x:c>
    </x:row>
    <x:row r="18">
      <x:c r="A18" s="65">
        <x:v>5.0</x:v>
      </x:c>
      <x:c r="B18" s="66" t="str">
        <x:v>Optional</x:v>
      </x:c>
      <x:c r="C18" s="93" t="str">
        <x:v>Buttons</x:v>
      </x:c>
      <x:c r="D18" s="93" t="str">
        <x:v>Green push button x25</x:v>
      </x:c>
      <x:c r="E18" s="93" t="s">
        <x:v>6</x:v>
      </x:c>
      <x:c r="F18" s="69">
        <x:v>1.0</x:v>
      </x:c>
      <x:c r="G18" s="69">
        <x:f t="shared" si="9"/>
        <x:v>20</x:v>
      </x:c>
      <x:c r="H18" s="93" t="str">
        <x:v>Search</x:v>
      </x:c>
      <x:c r="I18" s="96" t="str">
        <x:f t="shared" ref="I18:I19" si="12">HYPERLINK("https://he.aliexpress.com/w/wholesale-arcade-push-button-momentary-24mm-30mm.html",D18)</x:f>
        <x:v>Green push button x25</x:v>
      </x:c>
      <x:c r="J18" s="96" t="e">
        <x:f t="shared" ref="J18:J19" si="13">HYPERLINK("https://he.aliexpress.com/item/1005003514180571.html?spm=a2g0o.productlist.main.15.7cc7IQu8IQu8lj&amp;algo_pvid=5729e8fc-bb6b-46a8-a975-71d25b28a37c&amp;algo_exp_id=5729e8fc-bb6b-46a8-a975-71d25b28a37c-14&amp;pdp_ext_f=%7B%22order%22%3A%221657%22%2C%22eval%22%3A%221%"&amp;"22%2C%22fromPage%22%3A%22search%22%7D&amp;pdp_npi=6%40dis%21ILS%215.83%215.19%21%21%212.02%211.80%21%4021010d9017804101484364575e504a%2112000026128103715%21sea%21IL%21782865507%21X%211%210%21n_tag%3A-29919%3Bd%3A933ad9f8%3Bm03_new_user%3A-29895%3BpisId%3A5000"&amp;"000208189057&amp;curPageLogUid=TK7cZRol2Hej&amp;utparam-url=scene%3Asearch%7Cquery_from%3A%7Cx_object_id%3A1005003514180571%7C_p_origin_prod%3A",E18)</x:f>
      </x:c>
      <x:c r="K18" s="108">
        <x:v>5.0</x:v>
      </x:c>
      <x:c r="L18" s="93" t="str">
        <x:v>Basic quantity for a jukebox with Play, Next, Previous, Volume, Select, and selection buttons.</x:v>
      </x:c>
      <x:c r="M18" s="98" t="s">
        <x:v>7</x:v>
      </x:c>
      <x:c r="N18" s="98" t="str">
        <x:v>Unit price calculated from a 10-piece pack.</x:v>
      </x:c>
      <x:c r="O18" s="112" t="s">
        <x:v>3</x:v>
      </x:c>
      <x:c r="P18" s="113" t="n">
        <x:f t="shared" ref="P18:P19" si="14">IF(K18="","",ROUND(F18*K18,2))</x:f>
        <x:v>5</x:v>
      </x:c>
      <x:c r="Q18" s="113" t="n">
        <x:f t="shared" ref="Q18:Q19" si="15">IF(K18="","",ROUND(G18*K18,2))</x:f>
        <x:v>100</x:v>
      </x:c>
      <x:c r="R18" s="36"/>
      <x:c r="S18" s="36"/>
      <x:c r="T18" s="36"/>
      <x:c r="U18" s="36"/>
      <x:c r="V18" s="36"/>
      <x:c r="W18" s="36"/>
      <x:c r="X18" s="36"/>
      <x:c r="Y18" s="36"/>
      <x:c r="Z18" s="36"/>
      <x:c r="AA18" s="36"/>
    </x:row>
    <x:row r="19">
      <x:c r="A19" s="65">
        <x:v>5.0</x:v>
      </x:c>
      <x:c r="B19" s="66" t="str">
        <x:v>Optional</x:v>
      </x:c>
      <x:c r="C19" s="93" t="str">
        <x:v>Buttons</x:v>
      </x:c>
      <x:c r="D19" s="93" t="str">
        <x:v>Yellow push button x25</x:v>
      </x:c>
      <x:c r="E19" s="93" t="s">
        <x:v>6</x:v>
      </x:c>
      <x:c r="F19" s="69">
        <x:v>1.0</x:v>
      </x:c>
      <x:c r="G19" s="69">
        <x:f t="shared" si="9"/>
        <x:v>20</x:v>
      </x:c>
      <x:c r="H19" s="93" t="str">
        <x:v>Search</x:v>
      </x:c>
      <x:c r="I19" s="96" t="str">
        <x:f t="shared" si="12"/>
        <x:v>Yellow push button x25</x:v>
      </x:c>
      <x:c r="J19" s="96" t="str">
        <x:f t="shared" si="13"/>
        <x:v>Arcade push button momentary 24mm or 30mm, NO contact</x:v>
      </x:c>
      <x:c r="K19" s="108">
        <x:v>5.0</x:v>
      </x:c>
      <x:c r="L19" s="93" t="str">
        <x:v>Basic quantity for a jukebox with Play, Next, Previous, Volume, Select, and selection buttons.</x:v>
      </x:c>
      <x:c r="M19" s="98" t="s">
        <x:v>7</x:v>
      </x:c>
      <x:c r="N19" s="98" t="str">
        <x:v>Unit price calculated from a 10-piece pack.</x:v>
      </x:c>
      <x:c r="O19" s="112" t="s">
        <x:v>3</x:v>
      </x:c>
      <x:c r="P19" s="113">
        <x:f t="shared" si="14"/>
        <x:v>5</x:v>
      </x:c>
      <x:c r="Q19" s="113">
        <x:f t="shared" si="15"/>
        <x:v>100</x:v>
      </x:c>
      <x:c r="R19" s="36"/>
      <x:c r="S19" s="36"/>
      <x:c r="T19" s="36"/>
      <x:c r="U19" s="36"/>
      <x:c r="V19" s="36"/>
      <x:c r="W19" s="36"/>
      <x:c r="X19" s="36"/>
      <x:c r="Y19" s="36"/>
      <x:c r="Z19" s="36"/>
      <x:c r="AA19" s="36"/>
    </x:row>
    <x:row r="20">
      <x:c r="A20" s="58">
        <x:v>6.0</x:v>
      </x:c>
      <x:c r="B20" s="58" t="str">
        <x:v>Optional</x:v>
      </x:c>
      <x:c r="C20" s="85" t="str">
        <x:v>Audio</x:v>
      </x:c>
      <x:c r="D20" s="85" t="str">
        <x:v>PAM8403 Amplifier</x:v>
      </x:c>
      <x:c r="E20" s="85" t="s">
        <x:v>12</x:v>
      </x:c>
      <x:c r="F20" s="60">
        <x:v>1.0</x:v>
      </x:c>
      <x:c r="G20" s="60">
        <x:f t="shared" si="9"/>
        <x:v>20</x:v>
      </x:c>
      <x:c r="H20" s="85" t="str">
        <x:v>Search</x:v>
      </x:c>
      <x:c r="I20" s="92" t="str">
        <x:v>PAM8403 Amplifier</x:v>
      </x:c>
      <x:c r="J20" s="92" t="e">
        <x:f>HYPERLINK("https://he.aliexpress.com/item/1005011851498125.html?spm=a2g0o.productlist.main.13.a5e3M1N8M1N8hS&amp;algo_pvid=ca9d009b-ad76-45d4-85b1-4b16bd481622&amp;algo_exp_id=ca9d009b-ad76-45d4-85b1-4b16bd481622-12&amp;pdp_ext_f=%7B%22order%22%3A%2214%22%2C%22eval%22%3A%221%22"&amp;"%2C%22fromPage%22%3A%22search%22%7D&amp;pdp_npi=6%40dis%21ILS%2115.20%217.60%21%21%2135.64%2117.82%21%40212e532617804103465467034ee6ee%2112000056772857853%21sea%21IL%21782865507%21X%211%210%21n_tag%3A-29919%3Bd%3A933ad9f8%3Bm03_new_user%3A-29895&amp;curPageLogUid"&amp;"=RgDe4yR8jxFz&amp;utparam-url=scene%3Asearch%7Cquery_from%3A%7Cx_object_id%3A1005011851498125%7C_p_origin_prod%3A",E20)</x:f>
      </x:c>
      <x:c r="K20" s="107">
        <x:v>12.99</x:v>
      </x:c>
      <x:c r="L20" s="85" t="str">
        <x:v>Simple amplifier for small speakers. Receives the audio signal from the DFPlayer.</x:v>
      </x:c>
      <x:c r="M20" s="89" t="s">
        <x:v>13</x:v>
      </x:c>
      <x:c r="N20" s="89" t="str">
        <x:v>Price found in an external AliExpress price-tracking source.</x:v>
      </x:c>
      <x:c r="O20" s="110" t="s">
        <x:v>3</x:v>
      </x:c>
      <x:c r="P20" s="111" t="n">
        <x:f t="shared" ref="P20:P22" si="16">IF(K20="","",ROUND(F20*K20,2))</x:f>
        <x:v>12.99</x:v>
      </x:c>
      <x:c r="Q20" s="111" t="n">
        <x:f t="shared" ref="Q20:Q22" si="17">IF(K20="","",ROUND(G20*K20,2))</x:f>
        <x:v>259.8</x:v>
      </x:c>
    </x:row>
    <x:row r="21">
      <x:c r="A21" s="58">
        <x:v>7.0</x:v>
      </x:c>
      <x:c r="B21" s="58" t="str">
        <x:v>Optional</x:v>
      </x:c>
      <x:c r="C21" s="85" t="str">
        <x:v>Audio</x:v>
      </x:c>
      <x:c r="D21" s="85" t="str">
        <x:v>Speakers</x:v>
      </x:c>
      <x:c r="E21" s="85" t="s">
        <x:v>14</x:v>
      </x:c>
      <x:c r="F21" s="60">
        <x:v>2.0</x:v>
      </x:c>
      <x:c r="G21" s="60">
        <x:f t="shared" si="9"/>
        <x:v>40</x:v>
      </x:c>
      <x:c r="H21" s="85" t="str">
        <x:v>Search</x:v>
      </x:c>
      <x:c r="I21" s="92" t="str">
        <x:v>Speakers</x:v>
      </x:c>
      <x:c r="J21" s="92" t="e">
        <x:f>HYPERLINK("https://he.aliexpress.com/item/1005007851136722.html?spm=a2g0o.productlist.main.41.6f44WgVbWgVbEQ&amp;algo_pvid=688780f0-3f4e-4103-9362-b6ca16582046&amp;algo_exp_id=688780f0-3f4e-4103-9362-b6ca16582046-38&amp;pdp_ext_f=%7B%22order%22%3A%22352%22%2C%22eval%22%3A%221%2"&amp;"2%2C%22fromPage%22%3A%22search%22%7D&amp;pdp_npi=6%40dis%21ILS%2113.12%2112.19%21%21%214.55%214.23%21%402101590d17804122812111668e719f%2112000042537581114%21sea%21IL%21782865507%21X%211%210%21n_tag%3A-29919%3Bd%3A933ad9f8%3Bm03_new_user%3A-29895%3BpisId%3A500"&amp;"0000208177917&amp;curPageLogUid=2UWYCK9Ejcvx&amp;utparam-url=scene%3Asearch%7Cquery_from%3A%7Cx_object_id%3A1005007851136722%7C_p_origin_prod%3A",E21)</x:f>
      </x:c>
      <x:c r="K21" s="107">
        <x:v>6.45</x:v>
      </x:c>
      <x:c r="L21" s="85" t="str">
        <x:v>Match the speakers to the size of the speaker grille in the enclosure.</x:v>
      </x:c>
      <x:c r="M21" s="89" t="s">
        <x:v>15</x:v>
      </x:c>
      <x:c r="N21" s="89" t="str">
        <x:v>Price found in an external AliExpress price-tracking source.</x:v>
      </x:c>
      <x:c r="O21" s="110" t="s">
        <x:v>3</x:v>
      </x:c>
      <x:c r="P21" s="111">
        <x:f t="shared" si="16"/>
        <x:v>12.9</x:v>
      </x:c>
      <x:c r="Q21" s="111">
        <x:f t="shared" si="17"/>
        <x:v>258</x:v>
      </x:c>
    </x:row>
    <x:row r="22" ht="81" customHeight="1">
      <x:c r="A22" s="58">
        <x:v>11.0</x:v>
      </x:c>
      <x:c r="B22" s="58" t="str">
        <x:v>Optional</x:v>
      </x:c>
      <x:c r="C22" s="85" t="str">
        <x:v>Power</x:v>
      </x:c>
      <x:c r="D22" s="85" t="str">
        <x:v>Main Power Switch</x:v>
      </x:c>
      <x:c r="E22" s="85" t="s">
        <x:v>16</x:v>
      </x:c>
      <x:c r="F22" s="60">
        <x:v>1.0</x:v>
      </x:c>
      <x:c r="G22" s="60">
        <x:f t="shared" si="9"/>
        <x:v>20</x:v>
      </x:c>
      <x:c r="H22" s="85" t="str">
        <x:v>Search</x:v>
      </x:c>
      <x:c r="I22" s="92" t="str">
        <x:v>Main Power Switch</x:v>
      </x:c>
      <x:c r="J22" s="92" t="e">
        <x:f>HYPERLINK("https://he.aliexpress.com/item/1005006303104334.html?spm=a2g0o.productlist.main.19.467c5Sw65Sw6u4&amp;algo_pvid=46eed464-707c-456d-8653-7b888f008e1f&amp;algo_exp_id=46eed464-707c-456d-8653-7b888f008e1f-18&amp;pdp_ext_f=%7B%22order%22%3A%22131%22%2C%22eval%22%3A%221%2"&amp;"2%2C%22fromPage%22%3A%22search%22%7D&amp;pdp_npi=6%40dis%21ILS%2110.05%219.55%21%21%2123.57%2122.39%21%40210123bc17804131817013989ef02d%2112000036683920618%21sea%21IL%21782865507%21X%211%210%21n_tag%3A-29919%3Bd%3A933ad9f8%3Bm03_new_user%3A-29895%3BpisId%3A50"&amp;"00000208177917&amp;curPageLogUid=uBqIJlJjAoM1&amp;utparam-url=scene%3Asearch%7Cquery_from%3A%7Cx_object_id%3A1005006303104334%7C_p_origin_prod%3A",E22)</x:f>
      </x:c>
      <x:c r="K22" s="107"/>
      <x:c r="L22" s="85" t="str">
        <x:v>Turns the entire system on and off.</x:v>
      </x:c>
      <x:c r="M22" s="89"/>
      <x:c r="N22" s="89"/>
      <x:c r="O22" s="104"/>
      <x:c r="P22" s="111" t="str">
        <x:f t="shared" si="16">IF(K22="","",ROUND(F22*K22,2))</x:f>
      </x:c>
      <x:c r="Q22" s="111" t="str">
        <x:f t="shared" si="17">IF(K22="","",ROUND(G22*K22,2))</x:f>
      </x:c>
    </x:row>
    <x:row r="23">
      <x:c r="A23" s="58"/>
      <x:c r="B23" s="58"/>
      <x:c r="C23" s="85"/>
      <x:c r="D23" s="85"/>
      <x:c r="E23" s="85"/>
      <x:c r="F23" s="60"/>
      <x:c r="G23" s="60"/>
      <x:c r="H23" s="85"/>
      <x:c r="I23" s="92"/>
      <x:c r="J23" s="92"/>
      <x:c r="K23" s="107"/>
      <x:c r="L23" s="85"/>
      <x:c r="M23" s="89"/>
      <x:c r="N23" s="89"/>
      <x:c r="O23" s="104"/>
      <x:c r="P23" s="111"/>
      <x:c r="Q23" s="111"/>
    </x:row>
    <x:row r="24" ht="150" customHeight="1">
      <x:c r="A24" s="58">
        <x:v>13.0</x:v>
      </x:c>
      <x:c r="B24" s="58" t="str">
        <x:v>Optional</x:v>
      </x:c>
      <x:c r="C24" s="85" t="str">
        <x:v>Wiring</x:v>
      </x:c>
      <x:c r="D24" s="85" t="str">
        <x:v>Dupont / JST Wires</x:v>
      </x:c>
      <x:c r="E24" s="85" t="s">
        <x:v>17</x:v>
      </x:c>
      <x:c r="F24" s="60">
        <x:v>1.0</x:v>
      </x:c>
      <x:c r="G24" s="60" t="n">
        <x:f>F24*$B$2</x:f>
        <x:v>20</x:v>
      </x:c>
      <x:c r="H24" s="85" t="str">
        <x:v>Search</x:v>
      </x:c>
      <x:c r="I24" s="92" t="str">
        <x:f t="shared" ref="I24:J24" si="18">HYPERLINK("https://he.aliexpress.com/w/wholesale-Dupont-wire-JST-connector-kit.html",D24)</x:f>
        <x:v>Dupont / JST Wires</x:v>
      </x:c>
      <x:c r="J24" s="92" t="str">
        <x:f t="shared" si="18"/>
        <x:v>Dupont wires and JST connectors kit</x:v>
      </x:c>
      <x:c r="K24" s="107"/>
      <x:c r="L24" s="85" t="str">
        <x:v>For connecting modules, buttons, and lighting.</x:v>
      </x:c>
      <x:c r="M24" s="89"/>
      <x:c r="N24" s="89"/>
      <x:c r="O24" s="104"/>
      <x:c r="P24" s="111" t="str">
        <x:f>IF(K24="","",ROUND(F24*K24,2))</x:f>
      </x:c>
      <x:c r="Q24" s="111" t="str">
        <x:f>IF(K24="","",ROUND(G24*K24,2))</x:f>
      </x:c>
    </x:row>
    <x:row r="25">
      <x:c r="A25" s="58"/>
      <x:c r="B25" s="58"/>
      <x:c r="C25" s="85"/>
      <x:c r="D25" s="85"/>
      <x:c r="E25" s="85"/>
      <x:c r="F25" s="60"/>
      <x:c r="G25" s="60"/>
      <x:c r="H25" s="85"/>
      <x:c r="I25" s="92"/>
      <x:c r="J25" s="92"/>
      <x:c r="K25" s="107"/>
      <x:c r="L25" s="85"/>
      <x:c r="M25" s="89"/>
      <x:c r="N25" s="89"/>
      <x:c r="O25" s="104"/>
      <x:c r="P25" s="111"/>
      <x:c r="Q25" s="111"/>
    </x:row>
    <x:row r="26" ht="15.75" customHeight="1">
      <x:c r="A26" s="105" t="str">
        <x:v>Partial price summary for components with available prices</x:v>
      </x:c>
      <x:c r="B26" s="105"/>
      <x:c r="C26" s="101"/>
      <x:c r="D26" s="101"/>
      <x:c r="E26" s="101"/>
      <x:c r="F26" s="105"/>
      <x:c r="G26" s="105"/>
      <x:c r="H26" s="101"/>
      <x:c r="I26" s="101"/>
      <x:c r="J26" s="101"/>
      <x:c r="K26" s="109" t="n">
        <x:f>SUM(K5:K25)</x:f>
        <x:v>129.12</x:v>
      </x:c>
      <x:c r="L26" s="101" t="str">
        <x:v>Components with prices</x:v>
      </x:c>
      <x:c r="M26" s="101"/>
      <x:c r="N26" s="101"/>
      <x:c r="O26" s="105"/>
      <x:c r="P26" s="109" t="n">
        <x:f t="shared" ref="P26:Q26" si="19">ROUND(SUM(P5:P25),2)</x:f>
        <x:v>135.57</x:v>
      </x:c>
      <x:c r="Q26" s="109" t="n">
        <x:f t="shared" si="19">ROUND(SUM(Q5:Q25),2)</x:f>
        <x:v>2711.4</x:v>
      </x:c>
    </x:row>
    <x:row r="27" ht="36" customHeight="1">
      <x:c r="A27" s="106" t="str">
        <x:v>Components without prices were left blank because no sufficiently clear price source was found on AliExpress or in a price tracker.</x:v>
      </x:c>
      <x:c r="B27" s="106"/>
      <x:c r="C27" s="103"/>
      <x:c r="D27" s="103"/>
      <x:c r="E27" s="103"/>
      <x:c r="F27" s="106"/>
      <x:c r="G27" s="106"/>
      <x:c r="H27" s="103"/>
      <x:c r="I27" s="103"/>
      <x:c r="J27" s="103"/>
      <x:c r="K27" s="106"/>
      <x:c r="L27" s="103"/>
      <x:c r="M27" s="103"/>
      <x:c r="N27" s="103"/>
      <x:c r="O27" s="106"/>
      <x:c r="P27" s="106"/>
      <x:c r="Q27" s="106"/>
    </x:row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mergeCells>
    <x:mergeCell ref="A1:L1"/>
  </x:mergeCells>
  <x:conditionalFormatting sqref="B5:B25">
    <x:cfRule type="expression" dxfId="4" priority="1">
      <x:formula>B5="חובה"</x:formula>
    </x:cfRule>
  </x:conditionalFormatting>
  <x:conditionalFormatting sqref="B5:B25">
    <x:cfRule type="expression" dxfId="5" priority="2">
      <x:formula>B5="אופציונלי"</x:formula>
    </x:cfRule>
  </x:conditionalFormatting>
  <x:dataValidations count="2">
    <x:dataValidation type="list" allowBlank="1" sqref="B5:B25">
      <x:formula1>"חובה,אופציונלי"</x:formula1>
    </x:dataValidation>
    <x:dataValidation type="list" allowBlank="1" sqref="H5:H25">
      <x:formula1>"מוצר ספציפי,חיפוש"</x:formula1>
    </x:dataValidation>
  </x:dataValidations>
  <x:pageMargins left="0.7" right="0.7" top="0.75" bottom="0.75" header="0.3" footer="0.3"/>
  <x:drawing xmlns:r="http://schemas.openxmlformats.org/officeDocument/2006/relationships" r:id="R99d07778d54e45d4"/>
  <x:tableParts count="1">
    <x:tablePart xmlns:r="http://schemas.openxmlformats.org/officeDocument/2006/relationships" r:id="R6875a8e6b4f34797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42" hidden="0" customWidth="1"/>
    <x:col min="2" max="2" width="24" hidden="0" customWidth="1"/>
  </x:cols>
  <x:sheetData>
    <x:row r="1" ht="15" hidden="0" customHeight="1">
      <x:c r="A1" s="119" t="str">
        <x:v>The laser-cut file is located in the folder</x:v>
      </x:c>
      <x:c r="B1" s="119" t="str">
        <x:v>4 mm poplar plywood</x:v>
      </x:c>
    </x:row>
    <x:row r="2" ht="15" hidden="0" customHeight="1">
      <x:c r="A2" s="119" t="str">
        <x:v>M3 screws, 10 mm long</x:v>
      </x:c>
      <x:c r="B2" s="119" t="str">
        <x:v>8 per kit</x:v>
      </x:c>
    </x:row>
    <x:row r="3" ht="15" hidden="0" customHeight="1">
      <x:c r="A3" s="119" t="str">
        <x:v>Soldering stations</x:v>
      </x:c>
      <x:c r="B3" s="1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22" hidden="0" customWidth="1"/>
    <x:col min="2" max="2" width="72" hidden="0" customWidth="1"/>
    <x:col min="3" max="26" width="8.630000114440918" customWidth="1"/>
  </x:cols>
  <x:sheetData>
    <x:row r="1" ht="28" customHeight="1">
      <x:c r="A1" s="114" t="str">
        <x:v>BOM Usage Instructions</x:v>
      </x:c>
      <x:c r="B1" s="117"/>
    </x:row>
    <x:row r="2">
      <x:c r="A2" s="80"/>
      <x:c r="B2" s="80"/>
    </x:row>
    <x:row r="3" ht="15" hidden="0" customHeight="1">
      <x:c r="A3" s="53" t="str">
        <x:v>Topic</x:v>
      </x:c>
      <x:c r="B3" s="53" t="str">
        <x:v>Details</x:v>
      </x:c>
    </x:row>
    <x:row r="4" ht="39.599998474121094" hidden="0" customHeight="1">
      <x:c r="A4" s="89" t="str">
        <x:v>Link Types</x:v>
      </x:c>
      <x:c r="B4" s="89" t="str">
        <x:v>The links in the BOM sheet are clickable. Each cell displays the component name instead of a long URL. Most components link to an AliExpress search so a seller can be selected based on stock, shipping, and rating.</x:v>
      </x:c>
    </x:row>
    <x:row r="5" ht="26.399999618530273" hidden="0" customHeight="1">
      <x:c r="A5" s="89" t="str">
        <x:v>Prices</x:v>
      </x:c>
      <x:c r="B5" s="89" t="str">
        <x:v>The unit price column is left blank for manual completion after selecting a seller, because AliExpress prices and shipping costs change frequently.</x:v>
      </x:c>
    </x:row>
    <x:row r="6" ht="26.399999618530273" hidden="0" customHeight="1">
      <x:c r="A6" s="89" t="str">
        <x:v>Workshop Quantity</x:v>
      </x:c>
      <x:c r="B6" s="89" t="str">
        <x:v>Change cell B2 in the BOM_Electronics sheet to the desired number of kits. The workshop quantity column is calculated automatically.</x:v>
      </x:c>
    </x:row>
    <x:row r="7" ht="26.399999618530273" hidden="0" customHeight="1">
      <x:c r="A7" s="89" t="str">
        <x:v>Working Version</x:v>
      </x:c>
      <x:c r="B7" s="89" t="str">
        <x:v>This BOM is intended for the version without a Raspberry Pi: ESP32 with display, DFPlayer Mini, amplifier, speakers, buttons, and lighting.</x:v>
      </x:c>
    </x:row>
    <x:row r="8" ht="26.399999618530273" hidden="0" customHeight="1">
      <x:c r="A8" s="89" t="str">
        <x:v>Mechanical Parts</x:v>
      </x:c>
      <x:c r="B8" s="89" t="str">
        <x:v>The laser-cut enclosure and the PLA-printed decorations are not included because this BOM focuses on electronic components.</x:v>
      </x:c>
    </x:row>
    <x:row r="9" ht="15" hidden="0" customHeight="1">
      <x:c r="A9" s="118"/>
      <x:c r="B9" s="118"/>
    </x:row>
    <x:row r="10" ht="26.399999618530273" hidden="0" customHeight="1">
      <x:c r="A10" s="119" t="str">
        <x:v>Price Updates</x:v>
      </x:c>
      <x:c r="B10" s="119" t="str">
        <x:v>Prices were entered only when a sufficiently clear price source was found. Components without a clear source were left without a price.</x:v>
      </x:c>
    </x:row>
    <x:row r="11" ht="15" hidden="0" customHeight="1">
      <x:c r="A11" s="119" t="str">
        <x:v>Sources</x:v>
      </x:c>
      <x:c r="B11" s="119" t="str">
        <x:v>Price sources are listed in the Price Source column of the BOM_Electronics sheet.</x:v>
      </x:c>
    </x:row>
    <x:row r="12" ht="15" hidden="0" customHeight="1">
      <x:c r="A12" s="119" t="str">
        <x:v>Board Price</x:v>
      </x:c>
      <x:c r="B12" s="119" t="str">
        <x:v>The ESP32 board price was taken from the screenshot and link supplied by the user.</x:v>
      </x:c>
    </x:row>
    <x:row r="13" ht="26.399999618530273" hidden="0" customHeight="1">
      <x:c r="A13" s="119" t="str">
        <x:v>Price Accuracy</x:v>
      </x:c>
      <x:c r="B13" s="119" t="str">
        <x:v>AliExpress prices vary by shipping, coupons, currency, quantity, and destination country. Verify all prices before placing an order.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1:B1"/>
  </x:mergeCells>
  <x:pageMargins left="0.7" right="0.7" top="0.75" bottom="0.75" header="0.3" footer="0.3"/>
</x:worksheet>
</file>