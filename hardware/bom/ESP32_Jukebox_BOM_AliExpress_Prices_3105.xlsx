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Electronics" sheetId="1" r:id="rId5"/>
    <sheet state="visible" name="Sheet1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<sst xmlns="http://schemas.openxmlformats.org/spreadsheetml/2006/main" count="174" uniqueCount="112">
  <si>
    <t>קובץ לחיתוך נמצא בתיקייה</t>
  </si>
  <si>
    <t>הנחיות שימוש ב-BOM</t>
  </si>
  <si>
    <t>4 מ"מ צפצפה</t>
  </si>
  <si>
    <t>ברגי 3m אורך 10</t>
  </si>
  <si>
    <t>8 לערכה</t>
  </si>
  <si>
    <t xml:space="preserve">עמדות הלחמה </t>
  </si>
  <si>
    <t>נושא</t>
  </si>
  <si>
    <t>פירוט</t>
  </si>
  <si>
    <t>סוג הקישורים</t>
  </si>
  <si>
    <t>הקישורים בגיליון ה-BOM הם קישורים לחיצים. התא מציג את שם הרכיב במקום URL ארוך. רוב הרכיבים מפנים לחיפוש ב-AliExpress כדי לבחור מוכר לפי מלאי, משלוח ודירוג.</t>
  </si>
  <si>
    <t>מחירים</t>
  </si>
  <si>
    <t>עמודת מחיר יחידה נשארה ריקה למילוי ידני לאחר בחירת מוכר, כי מחירי AliExpress ומשלוחים משתנים.</t>
  </si>
  <si>
    <t>כמות לסדנה</t>
  </si>
  <si>
    <t>שנה את התא B2 בגיליון BOM_Electronics למספר הערכות הרצוי. עמודת כמות לסדנה תחושב אוטומטית.</t>
  </si>
  <si>
    <t>גרסת עבודה</t>
  </si>
  <si>
    <t>ה-BOM מכוון לגרסה ללא Raspberry Pi: ESP32 עם מסך, DFPlayer Mini, מגבר, רמקולים, כפתורים ותאורה.</t>
  </si>
  <si>
    <t>מכניקה</t>
  </si>
  <si>
    <t>המארז החתוך בלייזר והעיטורים המודפסים מ-PLA לא נכללים כאן כי הבקשה היא לרכיבים אלקטרוניים.</t>
  </si>
  <si>
    <t>עדכון מחירים</t>
  </si>
  <si>
    <t>מחירים מולאו רק כאשר נמצא מקור מחיר ברור מספיק. רכיבים שלא נמצא להם מקור ברור נשארו ללא מחיר.</t>
  </si>
  <si>
    <t>מקורות</t>
  </si>
  <si>
    <t>מקורות המחיר מופיעים בעמודת מקור מחיר בגיליון BOM_Electronics.</t>
  </si>
  <si>
    <t>מחיר הלוח</t>
  </si>
  <si>
    <t>מחיר לוח ה-ESP32 נלקח מהצילום שסופק על ידי המשתמש ומהקישור שסופק.</t>
  </si>
  <si>
    <t>דיוק מחירים</t>
  </si>
  <si>
    <t>מחירי AliExpress משתנים לפי משלוח, קופונים, מטבע, כמות ומדינה. יש לאמת לפני הזמנה בפועל.</t>
  </si>
  <si>
    <t>BOM רכיבים אלקטרוניים - ג׳וקבוקס ESP32 עם מסך</t>
  </si>
  <si>
    <t>מספר ערכות בסדנה</t>
  </si>
  <si>
    <t>תאריך יצירה</t>
  </si>
  <si>
    <t>2026-05-30</t>
  </si>
  <si>
    <t>הערה</t>
  </si>
  <si>
    <t>הקישורים הם קישורי AliExpress לחיפוש, למעט לוח ה-ESP32 שבו הוכנס הקישור שסופק.</t>
  </si>
  <si>
    <t>מס׳</t>
  </si>
  <si>
    <t>סטטוס</t>
  </si>
  <si>
    <t>תת מערכת</t>
  </si>
  <si>
    <t>רכיב</t>
  </si>
  <si>
    <t>מפרט לחיפוש / דגם</t>
  </si>
  <si>
    <t>כמות ליחידה</t>
  </si>
  <si>
    <t>סוג קישור</t>
  </si>
  <si>
    <t>קישור AliExpress חיפוש</t>
  </si>
  <si>
    <t>קישור AliExpress פריט</t>
  </si>
  <si>
    <t>מחיר יחידה בשח</t>
  </si>
  <si>
    <t>הערות</t>
  </si>
  <si>
    <t>מקור מחיר</t>
  </si>
  <si>
    <t>הערת מחיר</t>
  </si>
  <si>
    <t>תאריך בדיקה</t>
  </si>
  <si>
    <t>עלות משוערת לפרויקט</t>
  </si>
  <si>
    <t>עלות משוערת לסדנה</t>
  </si>
  <si>
    <t>חובה</t>
  </si>
  <si>
    <t>בקרה וממשק</t>
  </si>
  <si>
    <t>לוח ESP32 עם מסך TFT 2.8 אינץ׳</t>
  </si>
  <si>
    <t>ESP32 development board with 2.8 inch TFT touch screen, WiFi, Bluetooth</t>
  </si>
  <si>
    <t>מוצר ספציפי</t>
  </si>
  <si>
    <t>XiaoZhi AI 3.5inch 320*480 Smart Display Screen Touch Enabled LED TFT Module</t>
  </si>
  <si>
    <t>הלוח המרכזי של המערכת. להשתמש בקישור שסופק.</t>
  </si>
  <si>
    <t>מחיר לפי צילום המסך שסופק על ידי המשתמש.</t>
  </si>
  <si>
    <t>2026-05-31</t>
  </si>
  <si>
    <t>אחסון</t>
  </si>
  <si>
    <t>כרטיס microSD</t>
  </si>
  <si>
    <t>microSD card 8GB or 16GB, Class 10</t>
  </si>
  <si>
    <t>חיפוש</t>
  </si>
  <si>
    <t>לשמירת קובצי MP3. יש לפרמט לפי דרישות DFPlayer.</t>
  </si>
  <si>
    <t>https://he.pricearchive.org/search/aliexpress.com/16-gb-micro-sd-tf-card/2?sort=SALE_PRICE_ASC</t>
  </si>
  <si>
    <t>מחיר נמצא במקור חיצוני למעקב מחירי AliExpress.</t>
  </si>
  <si>
    <t>כפתורים</t>
  </si>
  <si>
    <t>כפתור כחול X 25</t>
  </si>
  <si>
    <t>Arcade push button momentary 24mm or 30mm, NO contact</t>
  </si>
  <si>
    <t>כמות בסיסית לג׳וקבוקס עם Play, Next, Prev, Volume, Select וכפתורי בחירה.</t>
  </si>
  <si>
    <t>https://ms.pricearchive.org/aliexpress.com/item/32709040184</t>
  </si>
  <si>
    <t>מחיר מחושב ליחידה מתוך מארז 10 יחידות.</t>
  </si>
  <si>
    <t>כפתור אדום X 25</t>
  </si>
  <si>
    <t>כפתור לבן X 25</t>
  </si>
  <si>
    <t>שרינקים להלחמה</t>
  </si>
  <si>
    <t>קיט לכל הסדנה</t>
  </si>
  <si>
    <t>נגדים</t>
  </si>
  <si>
    <t>נגדי 1K OM</t>
  </si>
  <si>
    <t>דבק לבן</t>
  </si>
  <si>
    <t>דבק מהיר</t>
  </si>
  <si>
    <t>דבק דו צדדי</t>
  </si>
  <si>
    <t>ברגי M3 X 10</t>
  </si>
  <si>
    <t>אופציונלי</t>
  </si>
  <si>
    <t>הרכבה</t>
  </si>
  <si>
    <t>לוח הלחמה / פרוטובורד</t>
  </si>
  <si>
    <t>Prototype PCB perfboard, 5x7cm or similar</t>
  </si>
  <si>
    <t>להרכבה קבועה ונקייה בתוך המארז.</t>
  </si>
  <si>
    <t>הרחבת כניסות</t>
  </si>
  <si>
    <t>MCP23017 I2C GPIO Expander</t>
  </si>
  <si>
    <t>MCP23017 16-bit I2C I/O expander module</t>
  </si>
  <si>
    <t>לחיבור רוב הכפתורים בלי לבזבז GPIO של המסך.</t>
  </si>
  <si>
    <t>https://cs.pricearchive.org/aliexpress.com/item/1005009520862205</t>
  </si>
  <si>
    <t>כפתור ירוק X25</t>
  </si>
  <si>
    <t>כפתור צהובX 25</t>
  </si>
  <si>
    <t>אודיו</t>
  </si>
  <si>
    <t>מגבר PAM8403</t>
  </si>
  <si>
    <t>PAM8403 5V class D stereo amplifier board, 2x3W</t>
  </si>
  <si>
    <t>מגבר פשוט לרמקולים קטנים. מקבל אות אודיו מה-DFPlayer.</t>
  </si>
  <si>
    <t>https://www.pricearchive.org/aliexpress.com/item/1005012082823079</t>
  </si>
  <si>
    <t>רמקולים</t>
  </si>
  <si>
    <t>4 ohm 3W or 5W speakers, 40mm to 60mm</t>
  </si>
  <si>
    <t>להתאים לגודל גריל הרמקול במארז.</t>
  </si>
  <si>
    <t>https://he.pricearchive.org/search/aliexpress.com/3-ohm-speaker/1</t>
  </si>
  <si>
    <t>הספק</t>
  </si>
  <si>
    <t>מפסק ראשי</t>
  </si>
  <si>
    <t>Panel mount rocker switch, 2 pin, 5V/12V compatible</t>
  </si>
  <si>
    <t>הפעלה וכיבוי של כל המערכת.</t>
  </si>
  <si>
    <t>חיווט</t>
  </si>
  <si>
    <t>חוטי Dupont / JST</t>
  </si>
  <si>
    <t>Dupont wires and JST connectors kit</t>
  </si>
  <si>
    <t>לחיבור מודולים, כפתורים ותאורה.</t>
  </si>
  <si>
    <t>סיכום מחירים חלקי לפי הרכיבים שנמצאו</t>
  </si>
  <si>
    <t>רכיבים עם מחיר</t>
  </si>
  <si>
    <t>רכיבים ללא מחיר נשארו ריקים כי לא נמצא מקור מחיר ברור מספיק באלי אקספרס או במעקב מחירים.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</si>
</sst>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₪ #,##0.00"/>
  </numFmts>
  <fonts count="13">
    <font>
      <sz val="11.0"/>
      <color rgb="FF000000"/>
      <name val="Carlito"/>
      <scheme val="minor"/>
    </font>
    <font>
      <color theme="1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0.0"/>
      <color theme="1"/>
      <name val="Carlito"/>
    </font>
    <font>
      <u/>
      <sz val="10.0"/>
      <color rgb="FF0000FF"/>
      <name val="Carlito"/>
    </font>
    <font>
      <u/>
      <sz val="10.0"/>
      <color rgb="FF0563C1"/>
      <name val="Carlito"/>
    </font>
    <font>
      <color theme="1"/>
      <name val="Carlito"/>
    </font>
    <font>
      <u/>
      <color rgb="FF0563C1"/>
      <name val="Carlito"/>
    </font>
    <font>
      <sz val="10.0"/>
      <color rgb="FF0563C1"/>
      <name val="Carlito"/>
    </font>
    <font>
      <i/>
      <sz val="11.0"/>
      <color theme="1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05496"/>
        <bgColor rgb="FF305496"/>
      </patternFill>
    </fill>
    <fill>
      <patternFill patternType="solid">
        <fgColor rgb="FFEAF2F8"/>
        <bgColor rgb="FFEAF2F8"/>
      </patternFill>
    </fill>
    <fill>
      <patternFill patternType="solid">
        <fgColor rgb="FFFF0000"/>
        <bgColor rgb="FFFF0000"/>
      </patternFill>
    </fill>
    <fill>
      <patternFill patternType="solid">
        <fgColor rgb="FFC1E4F5"/>
        <bgColor rgb="FFC1E4F5"/>
      </patternFill>
    </fill>
    <fill>
      <patternFill patternType="solid">
        <fgColor rgb="FFD9EAD3"/>
        <bgColor rgb="FFD9EAD3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4" fontId="5" numFmtId="0" xfId="0" applyAlignment="1" applyFill="1" applyFont="1">
      <alignment readingOrder="0" vertical="center"/>
    </xf>
    <xf borderId="0" fillId="5" fontId="5" numFmtId="0" xfId="0" applyAlignment="1" applyFill="1" applyFont="1">
      <alignment readingOrder="0" vertical="center"/>
    </xf>
    <xf borderId="0" fillId="4" fontId="5" numFmtId="0" xfId="0" applyAlignment="1" applyFont="1">
      <alignment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1" xfId="0" applyAlignment="1" applyFont="1" applyNumberFormat="1">
      <alignment horizontal="center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1" numFmtId="0" xfId="0" applyFont="1"/>
    <xf borderId="0" fillId="0" fontId="4" numFmtId="164" xfId="0" applyFont="1" applyNumberFormat="1"/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6" fontId="9" numFmtId="0" xfId="0" applyAlignment="1" applyFill="1" applyFont="1">
      <alignment horizontal="center" shrinkToFit="0" vertical="top" wrapText="1"/>
    </xf>
    <xf borderId="0" fillId="7" fontId="9" numFmtId="0" xfId="0" applyAlignment="1" applyFill="1" applyFont="1">
      <alignment horizontal="center" readingOrder="0" shrinkToFit="0" vertical="top" wrapText="1"/>
    </xf>
    <xf borderId="0" fillId="6" fontId="9" numFmtId="0" xfId="0" applyAlignment="1" applyFont="1">
      <alignment horizontal="right" shrinkToFit="0" vertical="top" wrapText="1"/>
    </xf>
    <xf borderId="0" fillId="6" fontId="9" numFmtId="0" xfId="0" applyAlignment="1" applyFont="1">
      <alignment readingOrder="0" shrinkToFit="0" vertical="top" wrapText="1"/>
    </xf>
    <xf borderId="0" fillId="6" fontId="9" numFmtId="0" xfId="0" applyAlignment="1" applyFont="1">
      <alignment shrinkToFit="0" vertical="top" wrapText="1"/>
    </xf>
    <xf borderId="0" fillId="6" fontId="9" numFmtId="1" xfId="0" applyAlignment="1" applyFont="1" applyNumberFormat="1">
      <alignment horizontal="center" readingOrder="0" shrinkToFit="0" vertical="top" wrapText="1"/>
    </xf>
    <xf borderId="0" fillId="6" fontId="9" numFmtId="1" xfId="0" applyAlignment="1" applyFont="1" applyNumberFormat="1">
      <alignment horizontal="center" shrinkToFit="0" vertical="top" wrapText="1"/>
    </xf>
    <xf borderId="0" fillId="6" fontId="10" numFmtId="0" xfId="0" applyAlignment="1" applyFont="1">
      <alignment shrinkToFit="0" vertical="top" wrapText="1"/>
    </xf>
    <xf borderId="0" fillId="6" fontId="9" numFmtId="164" xfId="0" applyAlignment="1" applyFont="1" applyNumberFormat="1">
      <alignment horizontal="right" shrinkToFit="0" vertical="top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7" fontId="9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" xfId="0" applyAlignment="1" applyFont="1" applyNumberFormat="1">
      <alignment horizontal="center"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8" fontId="5" numFmtId="0" xfId="0" applyAlignment="1" applyFill="1" applyFont="1">
      <alignment readingOrder="0" vertical="center"/>
    </xf>
    <xf borderId="0" fillId="8" fontId="5" numFmtId="0" xfId="0" applyAlignment="1" applyFont="1">
      <alignment vertical="center"/>
    </xf>
    <xf borderId="0" fillId="8" fontId="5" numFmtId="164" xfId="0" applyAlignment="1" applyFont="1" applyNumberFormat="1">
      <alignment vertical="center"/>
    </xf>
    <xf borderId="0" fillId="9" fontId="12" numFmtId="0" xfId="0" applyAlignment="1" applyFill="1" applyFont="1">
      <alignment readingOrder="0" shrinkToFit="0" wrapText="1"/>
    </xf>
    <xf borderId="0" fillId="9" fontId="12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3" pivot="0" name="BOM_Electron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21</xdr:row>
      <xdr:rowOff>0</xdr:rowOff>
    </xdr:from>
    <xdr:ext cx="1066800" cy="619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1066800" cy="762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L25" displayName="Table_1" name="Table_1" id="1">
  <tableColumns count="12">
    <tableColumn name="מס׳" id="1"/>
    <tableColumn name="סטטוס" id="2"/>
    <tableColumn name="תת מערכת" id="3"/>
    <tableColumn name="רכיב" id="4"/>
    <tableColumn name="מפרט לחיפוש / דגם" id="5"/>
    <tableColumn name="כמות ליחידה" id="6"/>
    <tableColumn name="כמות לסדנה" id="7"/>
    <tableColumn name="סוג קישור" id="8"/>
    <tableColumn name="קישור AliExpress חיפוש" id="9"/>
    <tableColumn name="קישור AliExpress פריט" id="10"/>
    <tableColumn name="מחיר יחידה בשח" id="11"/>
    <tableColumn name="הערות" id="12"/>
  </tableColumns>
  <tableStyleInfo name="BOM_Electron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.aliexpress.com/item/1005012332770886.html?spm=a2g0o.order_list.order_list_main.5.21ef1802ymzAqn&amp;gatewayAdapt=glo2isr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2.0"/>
    <col customWidth="1" min="3" max="3" width="16.0"/>
    <col customWidth="1" min="4" max="4" width="28.0"/>
    <col customWidth="1" min="5" max="5" width="42.0"/>
    <col customWidth="1" min="6" max="8" width="12.0"/>
    <col customWidth="1" min="9" max="10" width="24.0"/>
    <col customWidth="1" min="11" max="11" width="14.0"/>
    <col customWidth="1" min="12" max="12" width="32.0"/>
    <col customWidth="1" min="13" max="13" width="34.0"/>
    <col customWidth="1" min="14" max="14" width="28.0"/>
    <col customWidth="1" min="15" max="15" width="14.0"/>
    <col customWidth="1" min="16" max="17" width="18.0"/>
    <col customWidth="1" min="18" max="27" width="8.63"/>
  </cols>
  <sheetData>
    <row r="1" ht="30.0" customHeight="1">
      <c r="A1" s="2" t="s">
        <v>26</v>
      </c>
    </row>
    <row r="2">
      <c r="A2" s="6" t="s">
        <v>27</v>
      </c>
      <c r="B2" s="7">
        <v>20.0</v>
      </c>
      <c r="C2" s="8"/>
      <c r="D2" s="6" t="s">
        <v>28</v>
      </c>
      <c r="E2" s="8" t="s">
        <v>29</v>
      </c>
      <c r="F2" s="8"/>
      <c r="G2" s="6" t="s">
        <v>30</v>
      </c>
      <c r="H2" s="6" t="s">
        <v>31</v>
      </c>
      <c r="I2" s="8"/>
      <c r="J2" s="8"/>
      <c r="K2" s="8"/>
      <c r="L2" s="8"/>
    </row>
    <row r="4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12</v>
      </c>
      <c r="H4" s="9" t="s">
        <v>38</v>
      </c>
      <c r="I4" s="10" t="s">
        <v>39</v>
      </c>
      <c r="J4" s="10" t="s">
        <v>40</v>
      </c>
      <c r="K4" s="9" t="s">
        <v>41</v>
      </c>
      <c r="L4" s="9" t="s">
        <v>42</v>
      </c>
      <c r="M4" s="11" t="s">
        <v>43</v>
      </c>
      <c r="N4" s="11" t="s">
        <v>44</v>
      </c>
      <c r="O4" s="11" t="s">
        <v>45</v>
      </c>
      <c r="P4" s="11" t="s">
        <v>46</v>
      </c>
      <c r="Q4" s="11" t="s">
        <v>47</v>
      </c>
    </row>
    <row r="5">
      <c r="A5" s="12">
        <v>1.0</v>
      </c>
      <c r="B5" s="13" t="s">
        <v>48</v>
      </c>
      <c r="C5" s="14" t="s">
        <v>49</v>
      </c>
      <c r="D5" s="14" t="s">
        <v>50</v>
      </c>
      <c r="E5" s="15" t="s">
        <v>51</v>
      </c>
      <c r="F5" s="16">
        <v>1.0</v>
      </c>
      <c r="G5" s="16">
        <f t="shared" ref="G5:G9" si="1">F5*$B$2</f>
        <v>20</v>
      </c>
      <c r="H5" s="14" t="s">
        <v>52</v>
      </c>
      <c r="I5" s="17"/>
      <c r="J5" s="18" t="s">
        <v>53</v>
      </c>
      <c r="K5" s="19">
        <v>66.0</v>
      </c>
      <c r="L5" s="14" t="s">
        <v>54</v>
      </c>
      <c r="M5" s="20"/>
      <c r="N5" s="4" t="s">
        <v>55</v>
      </c>
      <c r="O5" s="21" t="s">
        <v>56</v>
      </c>
      <c r="P5" s="22">
        <f t="shared" ref="P5:P6" si="3">IF(K5="","",ROUND(F5*K5,2))</f>
        <v>66</v>
      </c>
      <c r="Q5" s="22">
        <f t="shared" ref="Q5:Q6" si="4">IF(K5="","",ROUND(G5*K5,2))</f>
        <v>1320</v>
      </c>
    </row>
    <row r="6">
      <c r="A6" s="12">
        <v>3.0</v>
      </c>
      <c r="B6" s="13" t="s">
        <v>48</v>
      </c>
      <c r="C6" s="14" t="s">
        <v>57</v>
      </c>
      <c r="D6" s="14" t="s">
        <v>58</v>
      </c>
      <c r="E6" s="15" t="s">
        <v>59</v>
      </c>
      <c r="F6" s="16">
        <v>1.0</v>
      </c>
      <c r="G6" s="16">
        <f t="shared" si="1"/>
        <v>20</v>
      </c>
      <c r="H6" s="14" t="s">
        <v>60</v>
      </c>
      <c r="I6" s="23" t="str">
        <f t="shared" ref="I6:J6" si="2">HYPERLINK("https://he.aliexpress.com/item/1005012379392487.html?spm=a2g0o.productlist.main.2.438ajqYXjqYXYh&amp;algo_pvid=7b7ef602-dd2b-42c2-b249-7df46f4261fa&amp;algo_exp_id=7b7ef602-dd2b-42c2-b249-7df46f4261fa-1&amp;pdp_ext_f=%7B%22order%22%3A%22-1%22%2C%22eval%22%3A%221%22%2"&amp;"C%22fromPage%22%3A%22search%22%7D&amp;pdp_npi=6%40dis%21ILS%2110.78%216.94%21%21%2125.28%2116.28%21%402101246417804091579602780eeca7%2112000058210531511%21sea%21IL%21782865507%21X%211%210%21n_tag%3A-29919%3Bd%3A933ad9f8%3Bm03_new_user%3A-29895&amp;curPageLogUid=w"&amp;"qGPafY1MSsf&amp;utparam-url=scene%3Asearch%7Cquery_from%3A%7Cx_object_id%3A1005012379392487%7C_p_origin_prod%3A",D6)</f>
        <v>כרטיס microSD</v>
      </c>
      <c r="J6" s="23" t="str">
        <f t="shared" si="2"/>
        <v>microSD card 8GB or 16GB, Class 10</v>
      </c>
      <c r="K6" s="19">
        <v>12.0</v>
      </c>
      <c r="L6" s="14" t="s">
        <v>61</v>
      </c>
      <c r="M6" s="24" t="s">
        <v>62</v>
      </c>
      <c r="N6" s="4" t="s">
        <v>63</v>
      </c>
      <c r="O6" s="21" t="s">
        <v>56</v>
      </c>
      <c r="P6" s="22">
        <f t="shared" si="3"/>
        <v>12</v>
      </c>
      <c r="Q6" s="22">
        <f t="shared" si="4"/>
        <v>240</v>
      </c>
    </row>
    <row r="7">
      <c r="A7" s="25">
        <v>5.0</v>
      </c>
      <c r="B7" s="26" t="s">
        <v>48</v>
      </c>
      <c r="C7" s="27" t="s">
        <v>64</v>
      </c>
      <c r="D7" s="28" t="s">
        <v>65</v>
      </c>
      <c r="E7" s="29" t="s">
        <v>66</v>
      </c>
      <c r="F7" s="30">
        <v>1.0</v>
      </c>
      <c r="G7" s="31">
        <f t="shared" si="1"/>
        <v>20</v>
      </c>
      <c r="H7" s="27" t="s">
        <v>60</v>
      </c>
      <c r="I7" s="32" t="str">
        <f t="shared" ref="I7:I9" si="5">HYPERLINK("https://he.aliexpress.com/w/wholesale-arcade-push-button-momentary-24mm-30mm.html",D7)</f>
        <v>כפתור כחול X 25</v>
      </c>
      <c r="J7" s="32" t="str">
        <f t="shared" ref="J7:J9" si="6">HYPERLINK("https://he.aliexpress.com/item/1005003514180571.html?spm=a2g0o.productlist.main.15.7cc7IQu8IQu8lj&amp;algo_pvid=5729e8fc-bb6b-46a8-a975-71d25b28a37c&amp;algo_exp_id=5729e8fc-bb6b-46a8-a975-71d25b28a37c-14&amp;pdp_ext_f=%7B%22order%22%3A%221657%22%2C%22eval%22%3A%221%"&amp;"22%2C%22fromPage%22%3A%22search%22%7D&amp;pdp_npi=6%40dis%21ILS%215.83%215.19%21%21%212.02%211.80%21%4021010d9017804101484364575e504a%2112000026128103715%21sea%21IL%21782865507%21X%211%210%21n_tag%3A-29919%3Bd%3A933ad9f8%3Bm03_new_user%3A-29895%3BpisId%3A5000"&amp;"000208189057&amp;curPageLogUid=TK7cZRol2Hej&amp;utparam-url=scene%3Asearch%7Cquery_from%3A%7Cx_object_id%3A1005003514180571%7C_p_origin_prod%3A",E7)</f>
        <v>Arcade push button momentary 24mm or 30mm, NO contact</v>
      </c>
      <c r="K7" s="33">
        <v>5.0</v>
      </c>
      <c r="L7" s="27" t="s">
        <v>67</v>
      </c>
      <c r="M7" s="34" t="s">
        <v>68</v>
      </c>
      <c r="N7" s="35" t="s">
        <v>69</v>
      </c>
      <c r="O7" s="36" t="s">
        <v>56</v>
      </c>
      <c r="P7" s="37">
        <f t="shared" ref="P7:P9" si="7">IF(K7="","",ROUND(F7*K7,2))</f>
        <v>5</v>
      </c>
      <c r="Q7" s="37">
        <f t="shared" ref="Q7:Q9" si="8">IF(K7="","",ROUND(G7*K7,2))</f>
        <v>100</v>
      </c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25">
        <v>5.0</v>
      </c>
      <c r="B8" s="38" t="s">
        <v>48</v>
      </c>
      <c r="C8" s="27" t="s">
        <v>64</v>
      </c>
      <c r="D8" s="28" t="s">
        <v>70</v>
      </c>
      <c r="E8" s="29" t="s">
        <v>66</v>
      </c>
      <c r="F8" s="30">
        <v>1.0</v>
      </c>
      <c r="G8" s="31">
        <f t="shared" si="1"/>
        <v>20</v>
      </c>
      <c r="H8" s="27" t="s">
        <v>60</v>
      </c>
      <c r="I8" s="32" t="str">
        <f t="shared" si="5"/>
        <v>כפתור אדום X 25</v>
      </c>
      <c r="J8" s="32" t="str">
        <f t="shared" si="6"/>
        <v>Arcade push button momentary 24mm or 30mm, NO contact</v>
      </c>
      <c r="K8" s="33">
        <v>5.0</v>
      </c>
      <c r="L8" s="27" t="s">
        <v>67</v>
      </c>
      <c r="M8" s="34" t="s">
        <v>68</v>
      </c>
      <c r="N8" s="35" t="s">
        <v>69</v>
      </c>
      <c r="O8" s="36" t="s">
        <v>56</v>
      </c>
      <c r="P8" s="37">
        <f t="shared" si="7"/>
        <v>5</v>
      </c>
      <c r="Q8" s="37">
        <f t="shared" si="8"/>
        <v>100</v>
      </c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25">
        <v>5.0</v>
      </c>
      <c r="B9" s="38" t="s">
        <v>48</v>
      </c>
      <c r="C9" s="27" t="s">
        <v>64</v>
      </c>
      <c r="D9" s="28" t="s">
        <v>71</v>
      </c>
      <c r="E9" s="29" t="s">
        <v>66</v>
      </c>
      <c r="F9" s="30">
        <v>1.0</v>
      </c>
      <c r="G9" s="31">
        <f t="shared" si="1"/>
        <v>20</v>
      </c>
      <c r="H9" s="27" t="s">
        <v>60</v>
      </c>
      <c r="I9" s="32" t="str">
        <f t="shared" si="5"/>
        <v>כפתור לבן X 25</v>
      </c>
      <c r="J9" s="32" t="str">
        <f t="shared" si="6"/>
        <v>Arcade push button momentary 24mm or 30mm, NO contact</v>
      </c>
      <c r="K9" s="33">
        <v>5.0</v>
      </c>
      <c r="L9" s="27" t="s">
        <v>67</v>
      </c>
      <c r="M9" s="34" t="s">
        <v>68</v>
      </c>
      <c r="N9" s="35" t="s">
        <v>69</v>
      </c>
      <c r="O9" s="36" t="s">
        <v>56</v>
      </c>
      <c r="P9" s="37">
        <f t="shared" si="7"/>
        <v>5</v>
      </c>
      <c r="Q9" s="37">
        <f t="shared" si="8"/>
        <v>100</v>
      </c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72.0" customHeight="1">
      <c r="A10" s="12"/>
      <c r="B10" s="39" t="s">
        <v>48</v>
      </c>
      <c r="C10" s="40" t="s">
        <v>72</v>
      </c>
      <c r="D10" s="40" t="s">
        <v>73</v>
      </c>
      <c r="E10" s="15"/>
      <c r="F10" s="16"/>
      <c r="G10" s="41">
        <v>1.0</v>
      </c>
      <c r="H10" s="14"/>
      <c r="I10" s="42"/>
      <c r="J10" s="23" t="str">
        <f>HYPERLINK("https://he.aliexpress.com/item/1005011926896084.html?spm=a2g0o.productlist.main.5.76c65af5sogI9V&amp;algo_pvid=32d413d8-b755-45a7-8508-396050f27300&amp;algo_exp_id=32d413d8-b755-45a7-8508-396050f27300-4&amp;pdp_ext_f=%7B%22order%22%3A%22290%22%2C%22spu_best_type%22%3"&amp;"A%22price%22%2C%22eval%22%3A%221%22%2C%22fromPage%22%3A%22search%22%7D&amp;pdp_npi=6%40dis%21ILS%2115.38%217.69%21%21%2133.51%2116.75%21%4021413b0b17845515182015967e1095%2112000057039129511%21sea%21IL%21782865507%21X%211%210%21n_tag%3A-29919%3Bd%3A933ad9f8%3B"&amp;"m03_new_user%3A-29895&amp;curPageLogUid=MYg3zF1CkI8u&amp;utparam-url=scene%3Asearch%7Cquery_from%3A%7Cx_object_id%3A1005011926896084%7C_p_origin_prod%3A",E10)</f>
        <v>https://he.aliexpress.com/item/1005011926896084.html?spm=a2g0o.productlist.main.5.76c65af5sogI9V&amp;algo_pvid=32d413d8-b755-45a7-8508-396050f27300&amp;algo_exp_id=32d413d8-b755-45a7-8508-396050f27300-4&amp;pdp_ext_f=%7B%22order%22%3A%22290%22%2C%22spu_best_type%22%3A%22price%22%2C%22eval%22%3A%221%22%2C%22fromPage%22%3A%22search%22%7D&amp;pdp_npi=6%40dis%21ILS%2115.38%217.69%21%21%2133.51%2116.75%21%4021413b0b17845515182015967e1095%2112000057039129511%21sea%21IL%21782865507%21X%211%210%21n_tag%3A-29919%3Bd%3A933ad9f8%3Bm03_new_user%3A-29895&amp;curPageLogUid=MYg3zF1CkI8u&amp;utparam-url=scene%3Asearch%7Cquery_from%3A%7Cx_object_id%3A1005011926896084%7C_p_origin_prod%3A</v>
      </c>
      <c r="K10" s="43"/>
      <c r="L10" s="14"/>
      <c r="M10" s="24"/>
      <c r="N10" s="24"/>
      <c r="P10" s="22"/>
      <c r="Q10" s="22"/>
    </row>
    <row r="11">
      <c r="A11" s="12"/>
      <c r="B11" s="39" t="s">
        <v>48</v>
      </c>
      <c r="C11" s="40" t="s">
        <v>74</v>
      </c>
      <c r="D11" s="44" t="s">
        <v>75</v>
      </c>
      <c r="E11" s="15"/>
      <c r="F11" s="16"/>
      <c r="G11" s="16"/>
      <c r="H11" s="14"/>
      <c r="I11" s="42"/>
      <c r="J11" s="42"/>
      <c r="K11" s="43"/>
      <c r="L11" s="14"/>
      <c r="M11" s="24"/>
      <c r="N11" s="24"/>
      <c r="P11" s="22"/>
      <c r="Q11" s="22"/>
    </row>
    <row r="12">
      <c r="A12" s="12"/>
      <c r="B12" s="39" t="s">
        <v>48</v>
      </c>
      <c r="C12" s="40" t="s">
        <v>76</v>
      </c>
      <c r="D12" s="44"/>
      <c r="E12" s="15"/>
      <c r="F12" s="16"/>
      <c r="G12" s="16"/>
      <c r="H12" s="14"/>
      <c r="I12" s="42"/>
      <c r="J12" s="42"/>
      <c r="K12" s="43"/>
      <c r="L12" s="14"/>
      <c r="M12" s="24"/>
      <c r="N12" s="24"/>
      <c r="P12" s="22"/>
      <c r="Q12" s="22"/>
    </row>
    <row r="13">
      <c r="A13" s="12"/>
      <c r="B13" s="39" t="s">
        <v>48</v>
      </c>
      <c r="C13" s="40" t="s">
        <v>77</v>
      </c>
      <c r="D13" s="44"/>
      <c r="E13" s="15"/>
      <c r="F13" s="16"/>
      <c r="G13" s="16"/>
      <c r="H13" s="14"/>
      <c r="I13" s="42"/>
      <c r="J13" s="42"/>
      <c r="K13" s="43"/>
      <c r="L13" s="14"/>
      <c r="M13" s="24"/>
      <c r="N13" s="24"/>
      <c r="P13" s="22"/>
      <c r="Q13" s="22"/>
    </row>
    <row r="14">
      <c r="A14" s="12"/>
      <c r="B14" s="39" t="s">
        <v>48</v>
      </c>
      <c r="C14" s="40" t="s">
        <v>78</v>
      </c>
      <c r="D14" s="44"/>
      <c r="E14" s="15"/>
      <c r="F14" s="16"/>
      <c r="G14" s="16"/>
      <c r="H14" s="14"/>
      <c r="I14" s="42"/>
      <c r="J14" s="42"/>
      <c r="K14" s="43"/>
      <c r="L14" s="14"/>
      <c r="M14" s="24"/>
      <c r="N14" s="24"/>
      <c r="P14" s="22"/>
      <c r="Q14" s="22"/>
    </row>
    <row r="15">
      <c r="A15" s="12"/>
      <c r="B15" s="39" t="s">
        <v>48</v>
      </c>
      <c r="C15" s="44" t="s">
        <v>79</v>
      </c>
      <c r="D15" s="44"/>
      <c r="E15" s="15"/>
      <c r="F15" s="41">
        <v>4.0</v>
      </c>
      <c r="G15" s="41">
        <v>100.0</v>
      </c>
      <c r="H15" s="14"/>
      <c r="I15" s="42"/>
      <c r="J15" s="42"/>
      <c r="K15" s="43"/>
      <c r="L15" s="14"/>
      <c r="M15" s="24"/>
      <c r="N15" s="24"/>
      <c r="P15" s="22"/>
      <c r="Q15" s="22"/>
    </row>
    <row r="16">
      <c r="A16" s="12">
        <v>16.0</v>
      </c>
      <c r="B16" s="39" t="s">
        <v>80</v>
      </c>
      <c r="C16" s="14" t="s">
        <v>81</v>
      </c>
      <c r="D16" s="14" t="s">
        <v>82</v>
      </c>
      <c r="E16" s="15" t="s">
        <v>83</v>
      </c>
      <c r="F16" s="16">
        <v>1.0</v>
      </c>
      <c r="G16" s="16">
        <f t="shared" ref="G16:G22" si="9">F16*$B$2</f>
        <v>20</v>
      </c>
      <c r="H16" s="14" t="s">
        <v>60</v>
      </c>
      <c r="I16" s="23" t="str">
        <f>HYPERLINK("https://he.aliexpress.com/w/wholesale-prototype-PCB-perfboard-5x7cm.html",D16)</f>
        <v>לוח הלחמה / פרוטובורד</v>
      </c>
      <c r="J16" s="23" t="str">
        <f>HYPERLINK("https://he.aliexpress.com/item/1005008733140767.html?spm=a2g0o.detail.pcDetailTopMoreOtherSeller.2.1438tSdhtSdhKr&amp;gps-id=pcDetailTopMoreOtherSeller&amp;scm=1007.40050.354490.0&amp;scm_id=1007.40050.354490.0&amp;scm-url=1007.40050.354490.0&amp;pvid=b1cca3c1-e5a2-4952-9a14"&amp;"-c0cfd76278df&amp;_t=gps-id%3ApcDetailTopMoreOtherSeller%2Cscm-url%3A1007.40050.354490.0%2Cpvid%3Ab1cca3c1-e5a2-4952-9a14-c0cfd76278df%2Ctpp_buckets%3A668%232846%238114%231999&amp;pdp_ext_f=%7B%22order%22%3A%22368%22%2C%22eval%22%3A%221%22%2C%22sceneId%22%3A%2230"&amp;"050%22%2C%22fromPage%22%3A%22recommend%22%7D&amp;pdp_npi=6%40dis%21ILS%2120.85%2110.43%21%21%2148.88%2124.44%21%40212a70c017804137746897899ed3f1%2112000046438970753%21rec%21IL%21782865507%21X%211%210%21n_tag%3A-29919%3Bd%3A933ad9f8%3Bm03_new_user%3A-29895&amp;utp"&amp;"aram-url=scene%3ApcDetailTopMoreOtherSeller%7Cquery_from%3A%7Cx_object_id%3A1005008733140767%7C_p_origin_prod%3A",E16)</f>
        <v>Prototype PCB perfboard, 5x7cm or similar</v>
      </c>
      <c r="K16" s="43"/>
      <c r="L16" s="14" t="s">
        <v>84</v>
      </c>
      <c r="M16" s="24"/>
      <c r="N16" s="24"/>
      <c r="P16" s="22" t="str">
        <f t="shared" ref="P16:P17" si="10">IF(K16="","",ROUND(F16*K16,2))</f>
        <v/>
      </c>
      <c r="Q16" s="22" t="str">
        <f t="shared" ref="Q16:Q17" si="11">IF(K16="","",ROUND(G16*K16,2))</f>
        <v/>
      </c>
    </row>
    <row r="17">
      <c r="A17" s="12">
        <v>4.0</v>
      </c>
      <c r="B17" s="39" t="s">
        <v>80</v>
      </c>
      <c r="C17" s="14" t="s">
        <v>85</v>
      </c>
      <c r="D17" s="15" t="s">
        <v>86</v>
      </c>
      <c r="E17" s="15" t="s">
        <v>87</v>
      </c>
      <c r="F17" s="16">
        <v>1.0</v>
      </c>
      <c r="G17" s="16">
        <f t="shared" si="9"/>
        <v>20</v>
      </c>
      <c r="H17" s="14" t="s">
        <v>60</v>
      </c>
      <c r="I17" s="23" t="str">
        <f>HYPERLINK("https://he.aliexpress.com/w/wholesale-MCP23017-I2C-GPIO-expander-module.html",D17)</f>
        <v>MCP23017 I2C GPIO Expander</v>
      </c>
      <c r="J17" s="23" t="str">
        <f>HYPERLINK("https://he.aliexpress.com/item/1005009520862205.html?aff_fcid=1b442f29b31d45cdb2edfcf8aff6480c-1780410014772-00960-_c3dLGmFL&amp;aff_fsk=_c3dLGmFL&amp;aff_platform=api-new-link-generate&amp;sk=_c3dLGmFL&amp;aff_trace_key=1b442f29b31d45cdb2edfcf8aff6480c-1780410014772-009"&amp;"60-_c3dLGmFL&amp;terminal_id=d6a1007c428f4d6c85b9160ca659bcd6&amp;afSmartRedirect=y&amp;gatewayAdapt=glo2isr",E17)</f>
        <v>MCP23017 16-bit I2C I/O expander module</v>
      </c>
      <c r="K17" s="43">
        <v>6.68</v>
      </c>
      <c r="L17" s="14" t="s">
        <v>88</v>
      </c>
      <c r="M17" s="24" t="s">
        <v>89</v>
      </c>
      <c r="N17" s="4" t="s">
        <v>63</v>
      </c>
      <c r="O17" s="21" t="s">
        <v>56</v>
      </c>
      <c r="P17" s="22">
        <f t="shared" si="10"/>
        <v>6.68</v>
      </c>
      <c r="Q17" s="22">
        <f t="shared" si="11"/>
        <v>133.6</v>
      </c>
    </row>
    <row r="18">
      <c r="A18" s="25">
        <v>5.0</v>
      </c>
      <c r="B18" s="26" t="s">
        <v>80</v>
      </c>
      <c r="C18" s="27" t="s">
        <v>64</v>
      </c>
      <c r="D18" s="28" t="s">
        <v>90</v>
      </c>
      <c r="E18" s="29" t="s">
        <v>66</v>
      </c>
      <c r="F18" s="30">
        <v>1.0</v>
      </c>
      <c r="G18" s="31">
        <f t="shared" si="9"/>
        <v>20</v>
      </c>
      <c r="H18" s="27" t="s">
        <v>60</v>
      </c>
      <c r="I18" s="32" t="str">
        <f t="shared" ref="I18:I19" si="12">HYPERLINK("https://he.aliexpress.com/w/wholesale-arcade-push-button-momentary-24mm-30mm.html",D18)</f>
        <v>כפתור ירוק X25</v>
      </c>
      <c r="J18" s="32" t="str">
        <f t="shared" ref="J18:J19" si="13">HYPERLINK("https://he.aliexpress.com/item/1005003514180571.html?spm=a2g0o.productlist.main.15.7cc7IQu8IQu8lj&amp;algo_pvid=5729e8fc-bb6b-46a8-a975-71d25b28a37c&amp;algo_exp_id=5729e8fc-bb6b-46a8-a975-71d25b28a37c-14&amp;pdp_ext_f=%7B%22order%22%3A%221657%22%2C%22eval%22%3A%221%"&amp;"22%2C%22fromPage%22%3A%22search%22%7D&amp;pdp_npi=6%40dis%21ILS%215.83%215.19%21%21%212.02%211.80%21%4021010d9017804101484364575e504a%2112000026128103715%21sea%21IL%21782865507%21X%211%210%21n_tag%3A-29919%3Bd%3A933ad9f8%3Bm03_new_user%3A-29895%3BpisId%3A5000"&amp;"000208189057&amp;curPageLogUid=TK7cZRol2Hej&amp;utparam-url=scene%3Asearch%7Cquery_from%3A%7Cx_object_id%3A1005003514180571%7C_p_origin_prod%3A",E18)</f>
        <v>Arcade push button momentary 24mm or 30mm, NO contact</v>
      </c>
      <c r="K18" s="33">
        <v>5.0</v>
      </c>
      <c r="L18" s="27" t="s">
        <v>67</v>
      </c>
      <c r="M18" s="34" t="s">
        <v>68</v>
      </c>
      <c r="N18" s="35" t="s">
        <v>69</v>
      </c>
      <c r="O18" s="36" t="s">
        <v>56</v>
      </c>
      <c r="P18" s="37">
        <f t="shared" ref="P18:P19" si="14">IF(K18="","",ROUND(F18*K18,2))</f>
        <v>5</v>
      </c>
      <c r="Q18" s="37">
        <f t="shared" ref="Q18:Q19" si="15">IF(K18="","",ROUND(G18*K18,2))</f>
        <v>100</v>
      </c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25">
        <v>5.0</v>
      </c>
      <c r="B19" s="26" t="s">
        <v>80</v>
      </c>
      <c r="C19" s="27" t="s">
        <v>64</v>
      </c>
      <c r="D19" s="28" t="s">
        <v>91</v>
      </c>
      <c r="E19" s="29" t="s">
        <v>66</v>
      </c>
      <c r="F19" s="30">
        <v>1.0</v>
      </c>
      <c r="G19" s="31">
        <f t="shared" si="9"/>
        <v>20</v>
      </c>
      <c r="H19" s="27" t="s">
        <v>60</v>
      </c>
      <c r="I19" s="32" t="str">
        <f t="shared" si="12"/>
        <v>כפתור צהובX 25</v>
      </c>
      <c r="J19" s="32" t="str">
        <f t="shared" si="13"/>
        <v>Arcade push button momentary 24mm or 30mm, NO contact</v>
      </c>
      <c r="K19" s="33">
        <v>5.0</v>
      </c>
      <c r="L19" s="27" t="s">
        <v>67</v>
      </c>
      <c r="M19" s="34" t="s">
        <v>68</v>
      </c>
      <c r="N19" s="35" t="s">
        <v>69</v>
      </c>
      <c r="O19" s="36" t="s">
        <v>56</v>
      </c>
      <c r="P19" s="37">
        <f t="shared" si="14"/>
        <v>5</v>
      </c>
      <c r="Q19" s="37">
        <f t="shared" si="15"/>
        <v>100</v>
      </c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12">
        <v>6.0</v>
      </c>
      <c r="B20" s="39" t="s">
        <v>80</v>
      </c>
      <c r="C20" s="14" t="s">
        <v>92</v>
      </c>
      <c r="D20" s="14" t="s">
        <v>93</v>
      </c>
      <c r="E20" s="15" t="s">
        <v>94</v>
      </c>
      <c r="F20" s="16">
        <v>1.0</v>
      </c>
      <c r="G20" s="16">
        <f t="shared" si="9"/>
        <v>20</v>
      </c>
      <c r="H20" s="14" t="s">
        <v>60</v>
      </c>
      <c r="I20" s="23" t="str">
        <f>HYPERLINK("https://he.aliexpress.com/w/wholesale-PAM8403-5V-2x3W-amplifier-board.html",D20)</f>
        <v>מגבר PAM8403</v>
      </c>
      <c r="J20" s="23" t="str">
        <f>HYPERLINK("https://he.aliexpress.com/item/1005011851498125.html?spm=a2g0o.productlist.main.13.a5e3M1N8M1N8hS&amp;algo_pvid=ca9d009b-ad76-45d4-85b1-4b16bd481622&amp;algo_exp_id=ca9d009b-ad76-45d4-85b1-4b16bd481622-12&amp;pdp_ext_f=%7B%22order%22%3A%2214%22%2C%22eval%22%3A%221%22"&amp;"%2C%22fromPage%22%3A%22search%22%7D&amp;pdp_npi=6%40dis%21ILS%2115.20%217.60%21%21%2135.64%2117.82%21%40212e532617804103465467034ee6ee%2112000056772857853%21sea%21IL%21782865507%21X%211%210%21n_tag%3A-29919%3Bd%3A933ad9f8%3Bm03_new_user%3A-29895&amp;curPageLogUid"&amp;"=RgDe4yR8jxFz&amp;utparam-url=scene%3Asearch%7Cquery_from%3A%7Cx_object_id%3A1005011851498125%7C_p_origin_prod%3A",E20)</f>
        <v>PAM8403 5V class D stereo amplifier board, 2x3W</v>
      </c>
      <c r="K20" s="43">
        <v>12.99</v>
      </c>
      <c r="L20" s="14" t="s">
        <v>95</v>
      </c>
      <c r="M20" s="24" t="s">
        <v>96</v>
      </c>
      <c r="N20" s="4" t="s">
        <v>63</v>
      </c>
      <c r="O20" s="21" t="s">
        <v>56</v>
      </c>
      <c r="P20" s="22">
        <f t="shared" ref="P20:P22" si="16">IF(K20="","",ROUND(F20*K20,2))</f>
        <v>12.99</v>
      </c>
      <c r="Q20" s="22">
        <f t="shared" ref="Q20:Q22" si="17">IF(K20="","",ROUND(G20*K20,2))</f>
        <v>259.8</v>
      </c>
    </row>
    <row r="21">
      <c r="A21" s="12">
        <v>7.0</v>
      </c>
      <c r="B21" s="39" t="s">
        <v>80</v>
      </c>
      <c r="C21" s="14" t="s">
        <v>92</v>
      </c>
      <c r="D21" s="14" t="s">
        <v>97</v>
      </c>
      <c r="E21" s="15" t="s">
        <v>98</v>
      </c>
      <c r="F21" s="16">
        <v>2.0</v>
      </c>
      <c r="G21" s="16">
        <f t="shared" si="9"/>
        <v>40</v>
      </c>
      <c r="H21" s="14" t="s">
        <v>60</v>
      </c>
      <c r="I21" s="23" t="str">
        <f>HYPERLINK("https://he.aliexpress.com/w/wholesale-4-ohm-3W-speaker-50mm.html",D21)</f>
        <v>רמקולים</v>
      </c>
      <c r="J21" s="23" t="str">
        <f>HYPERLINK("https://he.aliexpress.com/item/1005007851136722.html?spm=a2g0o.productlist.main.41.6f44WgVbWgVbEQ&amp;algo_pvid=688780f0-3f4e-4103-9362-b6ca16582046&amp;algo_exp_id=688780f0-3f4e-4103-9362-b6ca16582046-38&amp;pdp_ext_f=%7B%22order%22%3A%22352%22%2C%22eval%22%3A%221%2"&amp;"2%2C%22fromPage%22%3A%22search%22%7D&amp;pdp_npi=6%40dis%21ILS%2113.12%2112.19%21%21%214.55%214.23%21%402101590d17804122812111668e719f%2112000042537581114%21sea%21IL%21782865507%21X%211%210%21n_tag%3A-29919%3Bd%3A933ad9f8%3Bm03_new_user%3A-29895%3BpisId%3A500"&amp;"0000208177917&amp;curPageLogUid=2UWYCK9Ejcvx&amp;utparam-url=scene%3Asearch%7Cquery_from%3A%7Cx_object_id%3A1005007851136722%7C_p_origin_prod%3A",E21)</f>
        <v>4 ohm 3W or 5W speakers, 40mm to 60mm</v>
      </c>
      <c r="K21" s="43">
        <v>6.45</v>
      </c>
      <c r="L21" s="14" t="s">
        <v>99</v>
      </c>
      <c r="M21" s="24" t="s">
        <v>100</v>
      </c>
      <c r="N21" s="4" t="s">
        <v>63</v>
      </c>
      <c r="O21" s="21" t="s">
        <v>56</v>
      </c>
      <c r="P21" s="22">
        <f t="shared" si="16"/>
        <v>12.9</v>
      </c>
      <c r="Q21" s="22">
        <f t="shared" si="17"/>
        <v>258</v>
      </c>
    </row>
    <row r="22" ht="81.0" customHeight="1">
      <c r="A22" s="12">
        <v>11.0</v>
      </c>
      <c r="B22" s="39" t="s">
        <v>80</v>
      </c>
      <c r="C22" s="14" t="s">
        <v>101</v>
      </c>
      <c r="D22" s="14" t="s">
        <v>102</v>
      </c>
      <c r="E22" s="15" t="s">
        <v>103</v>
      </c>
      <c r="F22" s="16">
        <v>1.0</v>
      </c>
      <c r="G22" s="16">
        <f t="shared" si="9"/>
        <v>20</v>
      </c>
      <c r="H22" s="14" t="s">
        <v>60</v>
      </c>
      <c r="I22" s="23" t="str">
        <f>HYPERLINK("https://he.aliexpress.com/w/wholesale-panel-mount-rocker-switch-2-pin.html",D22)</f>
        <v>מפסק ראשי</v>
      </c>
      <c r="J22" s="23" t="str">
        <f>HYPERLINK("https://he.aliexpress.com/item/1005006303104334.html?spm=a2g0o.productlist.main.19.467c5Sw65Sw6u4&amp;algo_pvid=46eed464-707c-456d-8653-7b888f008e1f&amp;algo_exp_id=46eed464-707c-456d-8653-7b888f008e1f-18&amp;pdp_ext_f=%7B%22order%22%3A%22131%22%2C%22eval%22%3A%221%2"&amp;"2%2C%22fromPage%22%3A%22search%22%7D&amp;pdp_npi=6%40dis%21ILS%2110.05%219.55%21%21%2123.57%2122.39%21%40210123bc17804131817013989ef02d%2112000036683920618%21sea%21IL%21782865507%21X%211%210%21n_tag%3A-29919%3Bd%3A933ad9f8%3Bm03_new_user%3A-29895%3BpisId%3A50"&amp;"00000208177917&amp;curPageLogUid=uBqIJlJjAoM1&amp;utparam-url=scene%3Asearch%7Cquery_from%3A%7Cx_object_id%3A1005006303104334%7C_p_origin_prod%3A",E22)</f>
        <v>Panel mount rocker switch, 2 pin, 5V/12V compatible</v>
      </c>
      <c r="K22" s="43"/>
      <c r="L22" s="14" t="s">
        <v>104</v>
      </c>
      <c r="M22" s="24"/>
      <c r="N22" s="24"/>
      <c r="P22" s="22" t="str">
        <f t="shared" si="16"/>
        <v>#VALUE!</v>
      </c>
      <c r="Q22" s="22" t="str">
        <f t="shared" si="17"/>
        <v>#VALUE!</v>
      </c>
    </row>
    <row r="23">
      <c r="A23" s="12"/>
      <c r="B23" s="13"/>
      <c r="C23" s="14"/>
      <c r="D23" s="15"/>
      <c r="E23" s="15"/>
      <c r="F23" s="16"/>
      <c r="G23" s="16"/>
      <c r="H23" s="14"/>
      <c r="I23" s="42"/>
      <c r="J23" s="42"/>
      <c r="K23" s="43"/>
      <c r="L23" s="14"/>
      <c r="M23" s="24"/>
      <c r="N23" s="24"/>
      <c r="P23" s="22"/>
      <c r="Q23" s="22"/>
    </row>
    <row r="24" ht="150.0" customHeight="1">
      <c r="A24" s="12">
        <v>13.0</v>
      </c>
      <c r="B24" s="39" t="s">
        <v>80</v>
      </c>
      <c r="C24" s="14" t="s">
        <v>105</v>
      </c>
      <c r="D24" s="15" t="s">
        <v>106</v>
      </c>
      <c r="E24" s="15" t="s">
        <v>107</v>
      </c>
      <c r="F24" s="16">
        <v>1.0</v>
      </c>
      <c r="G24" s="16">
        <f>F24*$B$2</f>
        <v>20</v>
      </c>
      <c r="H24" s="14" t="s">
        <v>60</v>
      </c>
      <c r="I24" s="23" t="str">
        <f t="shared" ref="I24:J24" si="18">HYPERLINK("https://he.aliexpress.com/w/wholesale-Dupont-wire-JST-connector-kit.html",D24)</f>
        <v>חוטי Dupont / JST</v>
      </c>
      <c r="J24" s="23" t="str">
        <f t="shared" si="18"/>
        <v>Dupont wires and JST connectors kit</v>
      </c>
      <c r="K24" s="43"/>
      <c r="L24" s="14" t="s">
        <v>108</v>
      </c>
      <c r="M24" s="24"/>
      <c r="N24" s="24"/>
      <c r="P24" s="22" t="str">
        <f>IF(K24="","",ROUND(F24*K24,2))</f>
        <v>#VALUE!</v>
      </c>
      <c r="Q24" s="22" t="str">
        <f>IF(K24="","",ROUND(G24*K24,2))</f>
        <v>#VALUE!</v>
      </c>
    </row>
    <row r="25">
      <c r="A25" s="12"/>
      <c r="B25" s="13"/>
      <c r="C25" s="14"/>
      <c r="D25" s="14"/>
      <c r="E25" s="15"/>
      <c r="F25" s="16"/>
      <c r="G25" s="16"/>
      <c r="H25" s="14"/>
      <c r="I25" s="42"/>
      <c r="J25" s="42"/>
      <c r="K25" s="43"/>
      <c r="L25" s="14"/>
      <c r="M25" s="24"/>
      <c r="N25" s="24"/>
      <c r="P25" s="22"/>
      <c r="Q25" s="22"/>
    </row>
    <row r="26" ht="15.75" customHeight="1">
      <c r="A26" s="45" t="s">
        <v>109</v>
      </c>
      <c r="B26" s="46"/>
      <c r="C26" s="46"/>
      <c r="D26" s="46"/>
      <c r="E26" s="46"/>
      <c r="F26" s="46"/>
      <c r="G26" s="46"/>
      <c r="H26" s="46"/>
      <c r="I26" s="46"/>
      <c r="J26" s="46"/>
      <c r="K26" s="47">
        <f>SUM(K5:K25)</f>
        <v>129.12</v>
      </c>
      <c r="L26" s="45" t="s">
        <v>110</v>
      </c>
      <c r="M26" s="46"/>
      <c r="N26" s="46"/>
      <c r="O26" s="46"/>
      <c r="P26" s="47" t="str">
        <f t="shared" ref="P26:Q26" si="19">ROUND(SUM(P5:P25),2)</f>
        <v>#VALUE!</v>
      </c>
      <c r="Q26" s="47" t="str">
        <f t="shared" si="19"/>
        <v>#VALUE!</v>
      </c>
    </row>
    <row r="27" ht="36.0" customHeight="1">
      <c r="A27" s="48" t="s">
        <v>111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L1"/>
  </mergeCells>
  <conditionalFormatting sqref="B5:B25">
    <cfRule type="expression" dxfId="4" priority="1">
      <formula>B5="חובה"</formula>
    </cfRule>
  </conditionalFormatting>
  <conditionalFormatting sqref="B5:B25">
    <cfRule type="expression" dxfId="5" priority="2">
      <formula>B5="אופציונלי"</formula>
    </cfRule>
  </conditionalFormatting>
  <dataValidations>
    <dataValidation type="list" allowBlank="1" sqref="B5:B25">
      <formula1>"חובה,אופציונלי"</formula1>
    </dataValidation>
    <dataValidation type="list" allowBlank="1" sqref="H5:H25">
      <formula1>"מוצר ספציפי,חיפוש"</formula1>
    </dataValidation>
  </dataValidations>
  <hyperlinks>
    <hyperlink r:id="rId1" ref="J5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55.0"/>
    <col customWidth="1" min="3" max="26" width="8.63"/>
  </cols>
  <sheetData>
    <row r="1" ht="27.75" customHeight="1">
      <c r="A1" s="2" t="s">
        <v>1</v>
      </c>
    </row>
    <row r="3">
      <c r="A3" s="3" t="s">
        <v>6</v>
      </c>
      <c r="B3" s="3" t="s">
        <v>7</v>
      </c>
    </row>
    <row r="4">
      <c r="A4" s="4" t="s">
        <v>8</v>
      </c>
      <c r="B4" s="4" t="s">
        <v>9</v>
      </c>
    </row>
    <row r="5">
      <c r="A5" s="4" t="s">
        <v>10</v>
      </c>
      <c r="B5" s="4" t="s">
        <v>11</v>
      </c>
    </row>
    <row r="6">
      <c r="A6" s="4" t="s">
        <v>12</v>
      </c>
      <c r="B6" s="4" t="s">
        <v>13</v>
      </c>
    </row>
    <row r="7">
      <c r="A7" s="4" t="s">
        <v>14</v>
      </c>
      <c r="B7" s="4" t="s">
        <v>15</v>
      </c>
    </row>
    <row r="8">
      <c r="A8" s="4" t="s">
        <v>16</v>
      </c>
      <c r="B8" s="4" t="s">
        <v>17</v>
      </c>
    </row>
    <row r="10">
      <c r="A10" s="5" t="s">
        <v>18</v>
      </c>
      <c r="B10" s="5" t="s">
        <v>19</v>
      </c>
    </row>
    <row r="11">
      <c r="A11" s="5" t="s">
        <v>20</v>
      </c>
      <c r="B11" s="5" t="s">
        <v>21</v>
      </c>
    </row>
    <row r="12">
      <c r="A12" s="5" t="s">
        <v>22</v>
      </c>
      <c r="B12" s="5" t="s">
        <v>23</v>
      </c>
    </row>
    <row r="13">
      <c r="A13" s="5" t="s">
        <v>24</v>
      </c>
      <c r="B13" s="5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